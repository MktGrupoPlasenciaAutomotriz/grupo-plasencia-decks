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Metodología" sheetId="2" state="visible" r:id="rId2"/>
    <sheet name="§1 Ventas mensuales" sheetId="3" state="visible" r:id="rId3"/>
    <sheet name="§2 OR Servicio mensuales" sheetId="4" state="visible" r:id="rId4"/>
    <sheet name="§3 Ratio OR sobre Venta" sheetId="5" state="visible" r:id="rId5"/>
    <sheet name="§4 Valor refacciones" sheetId="6" state="visible" r:id="rId6"/>
    <sheet name="§5 Tiempo a 1er servicio" sheetId="7" state="visible" r:id="rId7"/>
    <sheet name="§5 Buckets de dí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E2740"/>
      <sz val="10"/>
    </font>
    <font>
      <name val="Calibri"/>
      <i val="1"/>
      <color rgb="00718096"/>
      <sz val="10"/>
    </font>
    <font>
      <name val="Calibri"/>
      <b val="1"/>
      <color rgb="00ECC94B"/>
      <sz val="10"/>
    </font>
    <font>
      <i val="1"/>
      <color rgb="00718096"/>
      <sz val="9"/>
    </font>
    <font>
      <name val="Calibri"/>
      <b val="1"/>
      <color rgb="001E2740"/>
      <sz val="22"/>
    </font>
    <font>
      <i val="1"/>
      <color rgb="004A5568"/>
      <sz val="12"/>
    </font>
    <font>
      <b val="1"/>
    </font>
    <font>
      <b val="1"/>
      <color rgb="001E2740"/>
      <sz val="13"/>
    </font>
    <font>
      <b val="1"/>
      <color rgb="00C8102E"/>
    </font>
    <font>
      <color rgb="004A5568"/>
    </font>
    <font>
      <i val="1"/>
      <color rgb="004A5568"/>
    </font>
    <font>
      <name val="Calibri"/>
      <b val="1"/>
      <color rgb="001E2740"/>
      <sz val="18"/>
    </font>
    <font>
      <b val="1"/>
      <color rgb="00FFFFFF"/>
      <sz val="12"/>
    </font>
    <font>
      <b val="1"/>
      <color rgb="001E2740"/>
      <sz val="10"/>
    </font>
    <font>
      <color rgb="002D3748"/>
      <sz val="10"/>
    </font>
  </fonts>
  <fills count="4">
    <fill>
      <patternFill/>
    </fill>
    <fill>
      <patternFill patternType="gray125"/>
    </fill>
    <fill>
      <patternFill patternType="solid">
        <fgColor rgb="001E2740"/>
      </patternFill>
    </fill>
    <fill>
      <patternFill patternType="solid">
        <fgColor rgb="00CBD5E0"/>
      </patternFill>
    </fill>
  </fills>
  <borders count="2">
    <border>
      <left/>
      <right/>
      <top/>
      <bottom/>
      <diagonal/>
    </border>
    <border>
      <left style="thin">
        <color rgb="00A0AEC0"/>
      </left>
      <right style="thin">
        <color rgb="00A0AEC0"/>
      </right>
      <top style="thin">
        <color rgb="00A0AEC0"/>
      </top>
      <bottom style="thin">
        <color rgb="00A0AE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2" borderId="1" applyAlignment="1" pivotButton="0" quotePrefix="0" xfId="0">
      <alignment vertical="center"/>
    </xf>
    <xf numFmtId="0" fontId="0" fillId="2" borderId="1" pivotButton="0" quotePrefix="0" xfId="0"/>
    <xf numFmtId="0" fontId="16" fillId="3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2" borderId="1" pivotButton="0" quotePrefix="0" xfId="0"/>
    <xf numFmtId="3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6" fillId="0" borderId="0" pivotButton="0" quotePrefix="0" xfId="0"/>
    <xf numFmtId="2" fontId="2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  <xf numFmtId="10" fontId="5" fillId="2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5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28" customWidth="1" min="2" max="2"/>
    <col width="90" customWidth="1" min="3" max="3"/>
  </cols>
  <sheetData>
    <row r="2">
      <c r="B2" s="1" t="inlineStr">
        <is>
          <t>Marcas Chinas · Post-venta DCA</t>
        </is>
      </c>
    </row>
    <row r="3">
      <c r="B3" s="2" t="inlineStr">
        <is>
          <t>Ventas + Órdenes de Servicio + Refacciones + Tiempo a 1er servicio</t>
        </is>
      </c>
    </row>
    <row r="5">
      <c r="B5" s="3" t="inlineStr">
        <is>
          <t>Fecha de corte</t>
        </is>
      </c>
      <c r="C5" t="inlineStr">
        <is>
          <t>15-jun-2026</t>
        </is>
      </c>
    </row>
    <row r="6">
      <c r="B6" s="3" t="inlineStr">
        <is>
          <t>Fuente</t>
        </is>
      </c>
      <c r="C6" t="inlineStr">
        <is>
          <t>DCA · cubos 30003 + 30008 (BITAM Artus)</t>
        </is>
      </c>
    </row>
    <row r="7">
      <c r="B7" s="3" t="inlineStr">
        <is>
          <t>Periodo</t>
        </is>
      </c>
      <c r="C7" t="inlineStr">
        <is>
          <t>2025-01-01 a 2026-06-15</t>
        </is>
      </c>
    </row>
    <row r="8">
      <c r="B8" s="3" t="inlineStr">
        <is>
          <t>Marcas</t>
        </is>
      </c>
      <c r="C8" t="inlineStr">
        <is>
          <t>GAC · CHANGAN · GWM</t>
        </is>
      </c>
    </row>
    <row r="10">
      <c r="B10" s="4" t="inlineStr">
        <is>
          <t>Contenido por hoja (todas con fórmulas vivas)</t>
        </is>
      </c>
    </row>
    <row r="11">
      <c r="B11" s="5" t="inlineStr">
        <is>
          <t>§1 Ventas mensuales</t>
        </is>
      </c>
      <c r="C11" s="6" t="inlineStr">
        <is>
          <t>Subtotales/acumulado por SUM, Total uds por suma de marcas</t>
        </is>
      </c>
    </row>
    <row r="12">
      <c r="B12" s="5" t="inlineStr">
        <is>
          <t>§2 OR Servicio mensuales</t>
        </is>
      </c>
      <c r="C12" s="6" t="inlineStr">
        <is>
          <t>Igual a §1 — subtotales SUM, Total OR por suma de marcas</t>
        </is>
      </c>
    </row>
    <row r="13">
      <c r="B13" s="5" t="inlineStr">
        <is>
          <t>§3 Ratio OR sobre Venta</t>
        </is>
      </c>
      <c r="C13" s="6" t="inlineStr">
        <is>
          <t>OR y Uds linkeados a §1/§2. Ratio = OR/Uds</t>
        </is>
      </c>
    </row>
    <row r="14">
      <c r="B14" s="5" t="inlineStr">
        <is>
          <t>§4 Valor refacciones</t>
        </is>
      </c>
      <c r="C14" s="6" t="inlineStr">
        <is>
          <t>Total = SUM. Revenue linkeado a §1. % = Total/Revenue</t>
        </is>
      </c>
    </row>
    <row r="15">
      <c r="B15" s="5" t="inlineStr">
        <is>
          <t>§5 Tiempo a 1er servicio</t>
        </is>
      </c>
      <c r="C15" s="6" t="inlineStr">
        <is>
          <t>% Cobertura = Con servicio / Vendidos. TOTAL = SUM</t>
        </is>
      </c>
    </row>
    <row r="16">
      <c r="B16" s="5" t="inlineStr">
        <is>
          <t>§5 Buckets de días</t>
        </is>
      </c>
      <c r="C16" s="6" t="inlineStr">
        <is>
          <t>Total por bucket = SUM marcas. Total con servicio = SUM buckets</t>
        </is>
      </c>
    </row>
    <row r="18">
      <c r="B18" s="5" t="inlineStr">
        <is>
          <t>Caveat 2026-06</t>
        </is>
      </c>
      <c r="C18" s="7" t="inlineStr">
        <is>
          <t>Corte parcial al 15-jun. Importes inconsistentes vs unidades. No citar el mes aislado sin validar con Inés.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50" customWidth="1" min="4" max="4"/>
  </cols>
  <sheetData>
    <row r="1">
      <c r="A1" s="8" t="inlineStr">
        <is>
          <t>Metodología · cómo se calculó cada número</t>
        </is>
      </c>
    </row>
    <row r="2">
      <c r="A2" s="7" t="inlineStr">
        <is>
          <t>Cada hoja del libro usa fórmulas vivas: si editas un mes, los totales/ratios/% recalculan solos. Aquí está la receta exacta de cada cálculo, con la celda dónde lo verificas.</t>
        </is>
      </c>
    </row>
    <row r="4" ht="22" customHeight="1">
      <c r="A4" s="9" t="inlineStr">
        <is>
          <t>0. Fuente, periodo y filtros base</t>
        </is>
      </c>
      <c r="B4" s="10" t="n"/>
      <c r="C4" s="10" t="n"/>
      <c r="D4" s="10" t="n"/>
    </row>
    <row r="5">
      <c r="A5" s="11" t="inlineStr">
        <is>
          <t>Tema</t>
        </is>
      </c>
      <c r="B5" s="11" t="inlineStr">
        <is>
          <t>Detalle</t>
        </is>
      </c>
      <c r="C5" s="11" t="inlineStr">
        <is>
          <t>Cubo / Campo</t>
        </is>
      </c>
      <c r="D5" s="11" t="inlineStr">
        <is>
          <t>Notas</t>
        </is>
      </c>
    </row>
    <row r="6" ht="36" customHeight="1">
      <c r="A6" s="12" t="inlineStr">
        <is>
          <t>Fuente</t>
        </is>
      </c>
      <c r="B6" s="12" t="inlineStr">
        <is>
          <t>BITAM Artus · cuenta jmorales@grupoplasencia.com (user 261 Pepe Morales)</t>
        </is>
      </c>
      <c r="C6" s="12" t="inlineStr">
        <is>
          <t>—</t>
        </is>
      </c>
      <c r="D6" s="12" t="inlineStr">
        <is>
          <t>Ingestado a D1 bitam-mkt</t>
        </is>
      </c>
    </row>
    <row r="7" ht="36" customHeight="1">
      <c r="A7" s="12" t="inlineStr">
        <is>
          <t>Cubos</t>
        </is>
      </c>
      <c r="B7" s="12" t="inlineStr">
        <is>
          <t>30003 Venta Autos · 30008 Venta Servicio y Refacciones</t>
        </is>
      </c>
      <c r="C7" s="12" t="inlineStr">
        <is>
          <t>30003 + 30008</t>
        </is>
      </c>
      <c r="D7" s="12" t="inlineStr">
        <is>
          <t>Re-extracción mensual del 30008 (workaround chunk mensual)</t>
        </is>
      </c>
    </row>
    <row r="8" ht="36" customHeight="1">
      <c r="A8" s="12" t="inlineStr">
        <is>
          <t>Periodo</t>
        </is>
      </c>
      <c r="B8" s="12" t="inlineStr">
        <is>
          <t>2025-01-01 a 2026-06-15 (corte parcial al 15-jun)</t>
        </is>
      </c>
      <c r="C8" s="12" t="inlineStr">
        <is>
          <t>D_25 Fecha Facturación</t>
        </is>
      </c>
      <c r="D8" s="12" t="inlineStr">
        <is>
          <t>Junio 2026 parcial — no citar el mes aislado sin validar con Inés</t>
        </is>
      </c>
    </row>
    <row r="9" ht="36" customHeight="1">
      <c r="A9" s="12" t="inlineStr">
        <is>
          <t>Filtro Marca</t>
        </is>
      </c>
      <c r="B9" s="12" t="inlineStr">
        <is>
          <t>GAC · CHANGAN · GWM (Marca del auto, no Marca Sucursal)</t>
        </is>
      </c>
      <c r="C9" s="12" t="inlineStr">
        <is>
          <t>D_67 Marca</t>
        </is>
      </c>
      <c r="D9" s="12" t="inlineStr">
        <is>
          <t>Si interesa otro corte, mismos queries cambiando filtro</t>
        </is>
      </c>
    </row>
    <row r="10" ht="36" customHeight="1">
      <c r="A10" s="12" t="inlineStr">
        <is>
          <t>Categoría 'Servicio'</t>
        </is>
      </c>
      <c r="B10" s="12" t="inlineStr">
        <is>
          <t>Público, Previa, Express, Reparación, Garantía, Aseguradora, Hojalatería, Estética</t>
        </is>
      </c>
      <c r="C10" s="12" t="inlineStr">
        <is>
          <t>D_50 Tipo Orden</t>
        </is>
      </c>
      <c r="D10" s="12" t="inlineStr">
        <is>
          <t>Excluye Internas, Devoluciones, Mostrador, Mayoreo, Accesorios, Llantas</t>
        </is>
      </c>
    </row>
    <row r="11" ht="36" customHeight="1">
      <c r="A11" s="12" t="inlineStr">
        <is>
          <t>OR distinta</t>
        </is>
      </c>
      <c r="B11" s="12" t="inlineStr">
        <is>
          <t>DISTINCT por Folio Orden Reparación</t>
        </is>
      </c>
      <c r="C11" s="12" t="inlineStr">
        <is>
          <t>D_31 Folio OR</t>
        </is>
      </c>
      <c r="D11" s="12" t="inlineStr">
        <is>
          <t>En extracto v1 no existía; v2 sí</t>
        </is>
      </c>
    </row>
    <row r="13" ht="22" customHeight="1">
      <c r="A13" s="9" t="inlineStr">
        <is>
          <t>§1 Ventas mensuales — cómo se calcula</t>
        </is>
      </c>
      <c r="B13" s="10" t="n"/>
      <c r="C13" s="10" t="n"/>
      <c r="D13" s="10" t="n"/>
    </row>
    <row r="14">
      <c r="A14" s="11" t="inlineStr">
        <is>
          <t>Métrica</t>
        </is>
      </c>
      <c r="B14" s="11" t="inlineStr">
        <is>
          <t>Fórmula en Excel</t>
        </is>
      </c>
      <c r="C14" s="11" t="inlineStr">
        <is>
          <t>Origen del dato</t>
        </is>
      </c>
      <c r="D14" s="11" t="inlineStr">
        <is>
          <t>Lectura</t>
        </is>
      </c>
    </row>
    <row r="15" ht="36" customHeight="1">
      <c r="A15" s="12" t="inlineStr">
        <is>
          <t>Uds por marca por mes (B/C/D)</t>
        </is>
      </c>
      <c r="B15" s="12" t="inlineStr">
        <is>
          <t>Valor crudo del cubo 30003 (COUNT de VINs nuevos del mes × marca)</t>
        </is>
      </c>
      <c r="C15" s="12" t="inlineStr">
        <is>
          <t>30003 → cubo_30003_ventas en D1</t>
        </is>
      </c>
      <c r="D15" s="12" t="inlineStr">
        <is>
          <t>Filtrado por nuevo_usado='AUTOS NUEVOS' + marca chinas</t>
        </is>
      </c>
    </row>
    <row r="16" ht="36" customHeight="1">
      <c r="A16" s="12" t="inlineStr">
        <is>
          <t>$ por marca por mes (E/F/G)</t>
        </is>
      </c>
      <c r="B16" s="12" t="inlineStr">
        <is>
          <t>Valor crudo del cubo 30003 (SUM de Importe Factura)</t>
        </is>
      </c>
      <c r="C16" s="12" t="inlineStr">
        <is>
          <t>30003 · I_30217 / parsed REAL</t>
        </is>
      </c>
      <c r="D16" s="12">
        <f>'$250,000' → 250000 al ingestar a D1</f>
        <v/>
      </c>
    </row>
    <row r="17" ht="36" customHeight="1">
      <c r="A17" s="12" t="inlineStr">
        <is>
          <t>Total uds del mes (H)</t>
        </is>
      </c>
      <c r="B17" s="12">
        <f> B + C + D</f>
        <v/>
      </c>
      <c r="C17" s="12" t="inlineStr">
        <is>
          <t>Fórmula viva</t>
        </is>
      </c>
      <c r="D17" s="12" t="inlineStr">
        <is>
          <t>Suma horizontal de las 3 marcas</t>
        </is>
      </c>
    </row>
    <row r="18" ht="36" customHeight="1">
      <c r="A18" s="12" t="inlineStr">
        <is>
          <t>Total 2025 (fila 14)</t>
        </is>
      </c>
      <c r="B18" s="12">
        <f> SUM(B2:B13) por cada columna</f>
        <v/>
      </c>
      <c r="C18" s="12" t="inlineStr">
        <is>
          <t>Fórmula viva</t>
        </is>
      </c>
      <c r="D18" s="12" t="inlineStr">
        <is>
          <t>Suma vertical de los 12 meses 2025</t>
        </is>
      </c>
    </row>
    <row r="19" ht="36" customHeight="1">
      <c r="A19" s="12" t="inlineStr">
        <is>
          <t>Total 2026 YTD</t>
        </is>
      </c>
      <c r="B19" s="12">
        <f> SUM(2026-01 : 2026-06) por cada columna</f>
        <v/>
      </c>
      <c r="C19" s="12" t="inlineStr">
        <is>
          <t>Fórmula viva</t>
        </is>
      </c>
      <c r="D19" s="12" t="inlineStr">
        <is>
          <t>Incluye junio parcial — bandera (*) en celda</t>
        </is>
      </c>
    </row>
    <row r="20" ht="36" customHeight="1">
      <c r="A20" s="12" t="inlineStr">
        <is>
          <t>Acumulado 2025+26 YTD</t>
        </is>
      </c>
      <c r="B20" s="12">
        <f> Total 2025 + Total 2026 YTD por cada columna</f>
        <v/>
      </c>
      <c r="C20" s="12" t="inlineStr">
        <is>
          <t>Fórmula viva</t>
        </is>
      </c>
      <c r="D20" s="12" t="inlineStr">
        <is>
          <t>Es el número que alimenta §3 y §4</t>
        </is>
      </c>
    </row>
    <row r="22" ht="22" customHeight="1">
      <c r="A22" s="9" t="inlineStr">
        <is>
          <t>§2 OR Servicio mensuales — cómo se calcula</t>
        </is>
      </c>
      <c r="B22" s="10" t="n"/>
      <c r="C22" s="10" t="n"/>
      <c r="D22" s="10" t="n"/>
    </row>
    <row r="23">
      <c r="A23" s="11" t="inlineStr">
        <is>
          <t>Métrica</t>
        </is>
      </c>
      <c r="B23" s="11" t="inlineStr">
        <is>
          <t>Fórmula en Excel</t>
        </is>
      </c>
      <c r="C23" s="11" t="inlineStr">
        <is>
          <t>Origen del dato</t>
        </is>
      </c>
      <c r="D23" s="11" t="inlineStr">
        <is>
          <t>Lectura</t>
        </is>
      </c>
    </row>
    <row r="24" ht="36" customHeight="1">
      <c r="A24" s="12" t="inlineStr">
        <is>
          <t>OR por marca por mes (B/C/D)</t>
        </is>
      </c>
      <c r="B24" s="12" t="inlineStr">
        <is>
          <t>Valor crudo del cubo 30008 (COUNT DISTINCT Folio OR del mes × marca)</t>
        </is>
      </c>
      <c r="C24" s="12" t="inlineStr">
        <is>
          <t>30008 → cubo_30008_servicio en D1</t>
        </is>
      </c>
      <c r="D24" s="12" t="inlineStr">
        <is>
          <t>Solo Tipo Orden 'Servicio' (lista §0). Excluye Internas, Devoluciones, Mostrador</t>
        </is>
      </c>
    </row>
    <row r="25" ht="36" customHeight="1">
      <c r="A25" s="12" t="inlineStr">
        <is>
          <t>Total OR del mes (E)</t>
        </is>
      </c>
      <c r="B25" s="12">
        <f> B + C + D</f>
        <v/>
      </c>
      <c r="C25" s="12" t="inlineStr">
        <is>
          <t>Fórmula viva</t>
        </is>
      </c>
      <c r="D25" s="12" t="inlineStr">
        <is>
          <t>Suma horizontal de las 3 marcas</t>
        </is>
      </c>
    </row>
    <row r="26" ht="36" customHeight="1">
      <c r="A26" s="12" t="inlineStr">
        <is>
          <t>Total 2025 (fila 14)</t>
        </is>
      </c>
      <c r="B26" s="12">
        <f> SUM(B2:B13) por cada columna</f>
        <v/>
      </c>
      <c r="C26" s="12" t="inlineStr">
        <is>
          <t>Fórmula viva</t>
        </is>
      </c>
      <c r="D26" s="12" t="inlineStr">
        <is>
          <t>Suma vertical de los 12 meses</t>
        </is>
      </c>
    </row>
    <row r="27" ht="36" customHeight="1">
      <c r="A27" s="12" t="inlineStr">
        <is>
          <t>Total 2026 YTD</t>
        </is>
      </c>
      <c r="B27" s="12">
        <f> SUM(2026-01 : 2026-06) por cada columna</f>
        <v/>
      </c>
      <c r="C27" s="12" t="inlineStr">
        <is>
          <t>Fórmula viva</t>
        </is>
      </c>
      <c r="D27" s="12" t="inlineStr">
        <is>
          <t>Incluye junio parcial</t>
        </is>
      </c>
    </row>
    <row r="28" ht="36" customHeight="1">
      <c r="A28" s="12" t="inlineStr">
        <is>
          <t>Acumulado 2025+26 YTD</t>
        </is>
      </c>
      <c r="B28" s="12">
        <f> Total 2025 + Total 2026 YTD por cada columna</f>
        <v/>
      </c>
      <c r="C28" s="12" t="inlineStr">
        <is>
          <t>Fórmula viva</t>
        </is>
      </c>
      <c r="D28" s="12" t="inlineStr">
        <is>
          <t>Es el número que alimenta §3</t>
        </is>
      </c>
    </row>
    <row r="30" ht="22" customHeight="1">
      <c r="A30" s="9" t="inlineStr">
        <is>
          <t>§3 Ratio OR / Venta — cómo se calcula</t>
        </is>
      </c>
      <c r="B30" s="10" t="n"/>
      <c r="C30" s="10" t="n"/>
      <c r="D30" s="10" t="n"/>
    </row>
    <row r="31">
      <c r="A31" s="11" t="inlineStr">
        <is>
          <t>Métrica</t>
        </is>
      </c>
      <c r="B31" s="11" t="inlineStr">
        <is>
          <t>Fórmula en Excel</t>
        </is>
      </c>
      <c r="C31" s="11" t="inlineStr">
        <is>
          <t>Origen del dato</t>
        </is>
      </c>
      <c r="D31" s="11" t="inlineStr">
        <is>
          <t>Lectura</t>
        </is>
      </c>
    </row>
    <row r="32" ht="36" customHeight="1">
      <c r="A32" s="12" t="inlineStr">
        <is>
          <t>OR distintas (col B)</t>
        </is>
      </c>
      <c r="B32" s="12">
        <f> '§2 OR Servicio mensuales'!&lt;col_marca&gt;&lt;fila acumulado&gt;</f>
        <v/>
      </c>
      <c r="C32" s="12" t="inlineStr">
        <is>
          <t>Link directo a §2 acumulado</t>
        </is>
      </c>
      <c r="D32" s="12" t="inlineStr">
        <is>
          <t>Si editas un mes en §2, este número cambia</t>
        </is>
      </c>
    </row>
    <row r="33" ht="36" customHeight="1">
      <c r="A33" s="12" t="inlineStr">
        <is>
          <t>Uds vendidas (col C)</t>
        </is>
      </c>
      <c r="B33" s="12">
        <f> '§1 Ventas mensuales'!&lt;col_marca&gt;&lt;fila acumulado&gt;</f>
        <v/>
      </c>
      <c r="C33" s="12" t="inlineStr">
        <is>
          <t>Link directo a §1 acumulado</t>
        </is>
      </c>
      <c r="D33" s="12" t="inlineStr">
        <is>
          <t>Si editas un mes en §1, este número cambia</t>
        </is>
      </c>
    </row>
    <row r="34" ht="36" customHeight="1">
      <c r="A34" s="12" t="inlineStr">
        <is>
          <t>Ratio OR/Venta (col D)</t>
        </is>
      </c>
      <c r="B34" s="12">
        <f> B / C</f>
        <v/>
      </c>
      <c r="C34" s="12" t="inlineStr">
        <is>
          <t>Fórmula viva</t>
        </is>
      </c>
      <c r="D34" s="12" t="inlineStr">
        <is>
          <t>Velocidad de visita acumulada. NO es frecuencia por unidad (las OR incluyen autos de cohortes anteriores)</t>
        </is>
      </c>
    </row>
    <row r="36" ht="22" customHeight="1">
      <c r="A36" s="9" t="inlineStr">
        <is>
          <t>§4 Valor refacciones — cómo se calcula</t>
        </is>
      </c>
      <c r="B36" s="10" t="n"/>
      <c r="C36" s="10" t="n"/>
      <c r="D36" s="10" t="n"/>
    </row>
    <row r="37">
      <c r="A37" s="11" t="inlineStr">
        <is>
          <t>Métrica</t>
        </is>
      </c>
      <c r="B37" s="11" t="inlineStr">
        <is>
          <t>Fórmula en Excel</t>
        </is>
      </c>
      <c r="C37" s="11" t="inlineStr">
        <is>
          <t>Origen del dato</t>
        </is>
      </c>
      <c r="D37" s="11" t="inlineStr">
        <is>
          <t>Lectura</t>
        </is>
      </c>
    </row>
    <row r="38" ht="36" customHeight="1">
      <c r="A38" s="12" t="inlineStr">
        <is>
          <t>Servicio $ (col B)</t>
        </is>
      </c>
      <c r="B38" s="12" t="inlineStr">
        <is>
          <t>SUM del cubo 30008 indicador Servicio</t>
        </is>
      </c>
      <c r="C38" s="12" t="inlineStr">
        <is>
          <t>30008 · I_30498 Vta $ Serv</t>
        </is>
      </c>
      <c r="D38" s="12" t="inlineStr">
        <is>
          <t>Mano de obra de servicio</t>
        </is>
      </c>
    </row>
    <row r="39" ht="36" customHeight="1">
      <c r="A39" s="12" t="inlineStr">
        <is>
          <t>Refacciones $ (col C)</t>
        </is>
      </c>
      <c r="B39" s="12" t="inlineStr">
        <is>
          <t>SUM del cubo 30008 indicador Refacciones</t>
        </is>
      </c>
      <c r="C39" s="12" t="inlineStr">
        <is>
          <t>30008 · I_30500 Vta $ Ref</t>
        </is>
      </c>
      <c r="D39" s="12" t="inlineStr">
        <is>
          <t>Piezas vendidas en OR de servicio</t>
        </is>
      </c>
    </row>
    <row r="40" ht="36" customHeight="1">
      <c r="A40" s="12" t="inlineStr">
        <is>
          <t>Hojalatería $ (col D)</t>
        </is>
      </c>
      <c r="B40" s="12" t="inlineStr">
        <is>
          <t>SUM del cubo 30008 indicador Hojalatería y Pintura</t>
        </is>
      </c>
      <c r="C40" s="12" t="inlineStr">
        <is>
          <t>30008 · I_30499 Vta $ HyP</t>
        </is>
      </c>
      <c r="D40" s="12" t="inlineStr">
        <is>
          <t>Solo HyP — GWM concentra 98% del total chinas, validar</t>
        </is>
      </c>
    </row>
    <row r="41" ht="36" customHeight="1">
      <c r="A41" s="12" t="inlineStr">
        <is>
          <t>Total post-venta $ (col E)</t>
        </is>
      </c>
      <c r="B41" s="12">
        <f> B + C + D</f>
        <v/>
      </c>
      <c r="C41" s="12" t="inlineStr">
        <is>
          <t>Fórmula viva</t>
        </is>
      </c>
      <c r="D41" s="12" t="inlineStr">
        <is>
          <t>Suma de las 3 cubetas monetarias</t>
        </is>
      </c>
    </row>
    <row r="42" ht="36" customHeight="1">
      <c r="A42" s="12" t="inlineStr">
        <is>
          <t>Revenue venta $ (col F)</t>
        </is>
      </c>
      <c r="B42" s="12">
        <f> '§1 Ventas mensuales'!&lt;col_marca_$&gt;&lt;fila acumulado&gt;</f>
        <v/>
      </c>
      <c r="C42" s="12" t="inlineStr">
        <is>
          <t>Link a §1 acumulado</t>
        </is>
      </c>
      <c r="D42" s="12" t="inlineStr">
        <is>
          <t>El ingreso de venta de autos para esa marca</t>
        </is>
      </c>
    </row>
    <row r="43" ht="36" customHeight="1">
      <c r="A43" s="12" t="inlineStr">
        <is>
          <t>% vs Revenue venta (col G)</t>
        </is>
      </c>
      <c r="B43" s="12">
        <f> E / F</f>
        <v/>
      </c>
      <c r="C43" s="12" t="inlineStr">
        <is>
          <t>Fórmula viva</t>
        </is>
      </c>
      <c r="D43" s="12" t="inlineStr">
        <is>
          <t>Qué tan grande es post-venta vs venta. Bench NADA US es 8–12%; chinas en 1.71% — headroom estructural</t>
        </is>
      </c>
    </row>
    <row r="44" ht="36" customHeight="1">
      <c r="A44" s="12" t="inlineStr">
        <is>
          <t>TOTAL CHINAS</t>
        </is>
      </c>
      <c r="B44" s="12">
        <f> SUM(B2:B4) por cada columna; % = E/F</f>
        <v/>
      </c>
      <c r="C44" s="12" t="inlineStr">
        <is>
          <t>Fórmula viva</t>
        </is>
      </c>
      <c r="D44" s="12" t="inlineStr">
        <is>
          <t>Agregado de las 3 marcas</t>
        </is>
      </c>
    </row>
    <row r="46" ht="22" customHeight="1">
      <c r="A46" s="9" t="inlineStr">
        <is>
          <t>§5 Tiempo a 1er servicio — cómo se calcula</t>
        </is>
      </c>
      <c r="B46" s="10" t="n"/>
      <c r="C46" s="10" t="n"/>
      <c r="D46" s="10" t="n"/>
    </row>
    <row r="47">
      <c r="A47" s="11" t="inlineStr">
        <is>
          <t>Métrica</t>
        </is>
      </c>
      <c r="B47" s="11" t="inlineStr">
        <is>
          <t>Fórmula en Excel</t>
        </is>
      </c>
      <c r="C47" s="11" t="inlineStr">
        <is>
          <t>Origen del dato</t>
        </is>
      </c>
      <c r="D47" s="11" t="inlineStr">
        <is>
          <t>Lectura</t>
        </is>
      </c>
    </row>
    <row r="48" ht="36" customHeight="1">
      <c r="A48" s="12" t="inlineStr">
        <is>
          <t>Método base</t>
        </is>
      </c>
      <c r="B48" s="12" t="inlineStr">
        <is>
          <t>JOIN VIN (limpio sin asteriscos) entre 30003 y 30008. Para cada VIN: MIN(fecha_servicio) − MIN(fecha_venta) en días</t>
        </is>
      </c>
      <c r="C48" s="12" t="inlineStr">
        <is>
          <t>SQL contra D1 bitam-mkt</t>
        </is>
      </c>
      <c r="D48" s="12" t="inlineStr">
        <is>
          <t>Solo casos donde fecha_servicio ≥ fecha_venta</t>
        </is>
      </c>
    </row>
    <row r="49" ht="36" customHeight="1">
      <c r="A49" s="12" t="inlineStr">
        <is>
          <t>Vendidos en periodo (col B)</t>
        </is>
      </c>
      <c r="B49" s="12" t="inlineStr">
        <is>
          <t>COUNT DISTINCT VINs vendidos del periodo (incluye los que aún no han ido a servicio)</t>
        </is>
      </c>
      <c r="C49" s="12" t="inlineStr">
        <is>
          <t>Pre-calculado por SQL</t>
        </is>
      </c>
      <c r="D49" s="12" t="inlineStr">
        <is>
          <t>El universo contra el que se mide cobertura</t>
        </is>
      </c>
    </row>
    <row r="50" ht="36" customHeight="1">
      <c r="A50" s="12" t="inlineStr">
        <is>
          <t>Con ≥1 servicio (col C)</t>
        </is>
      </c>
      <c r="B50" s="12" t="inlineStr">
        <is>
          <t>COUNT DISTINCT VINs con al menos 1 OR de servicio</t>
        </is>
      </c>
      <c r="C50" s="12" t="inlineStr">
        <is>
          <t>Pre-calculado por SQL</t>
        </is>
      </c>
      <c r="D50" s="12" t="inlineStr">
        <is>
          <t>Subconjunto de B</t>
        </is>
      </c>
    </row>
    <row r="51" ht="36" customHeight="1">
      <c r="A51" s="12" t="inlineStr">
        <is>
          <t>% Cobertura (col D)</t>
        </is>
      </c>
      <c r="B51" s="12">
        <f> C / B</f>
        <v/>
      </c>
      <c r="C51" s="12" t="inlineStr">
        <is>
          <t>Fórmula viva</t>
        </is>
      </c>
      <c r="D51" s="12" t="inlineStr">
        <is>
          <t>Qué % del parque vendido regresó al taller propio. Changan 66% es el más bajo</t>
        </is>
      </c>
    </row>
    <row r="52" ht="36" customHeight="1">
      <c r="A52" s="12" t="inlineStr">
        <is>
          <t>Promedio / Mediana días (col E/F)</t>
        </is>
      </c>
      <c r="B52" s="12" t="inlineStr">
        <is>
          <t>AVG y MEDIAN de los días entre fecha_venta y primer fecha_servicio</t>
        </is>
      </c>
      <c r="C52" s="12" t="inlineStr">
        <is>
          <t>Pre-calculado por SQL</t>
        </is>
      </c>
      <c r="D52" s="12" t="inlineStr">
        <is>
          <t>MEDIANA es el indicador robusto; el promedio se infla con outliers tardíos</t>
        </is>
      </c>
    </row>
    <row r="53" ht="36" customHeight="1">
      <c r="A53" s="12" t="inlineStr">
        <is>
          <t>Min / Max (col G/H)</t>
        </is>
      </c>
      <c r="B53" s="12" t="inlineStr">
        <is>
          <t>MIN/MAX de la distribución</t>
        </is>
      </c>
      <c r="C53" s="12" t="inlineStr">
        <is>
          <t>Pre-calculado por SQL</t>
        </is>
      </c>
      <c r="D53" s="12" t="inlineStr">
        <is>
          <t>Max ~480 d = autos vendidos a inicio 2025 que regresaron a fin 2026</t>
        </is>
      </c>
    </row>
    <row r="54" ht="36" customHeight="1">
      <c r="A54" s="12" t="inlineStr">
        <is>
          <t>TOTAL CHINAS</t>
        </is>
      </c>
      <c r="B54" s="12" t="inlineStr">
        <is>
          <t>B,C = SUM. D = C/B. E = promedio ponderado por casos (SUMPRODUCT). F = 40 hardcoded (mediana no agrega)</t>
        </is>
      </c>
      <c r="C54" s="12" t="inlineStr">
        <is>
          <t>Mezcla viva + valor reporte</t>
        </is>
      </c>
      <c r="D54" s="12" t="inlineStr">
        <is>
          <t>La mediana del total viene del query original; no se puede agregar matemáticamente</t>
        </is>
      </c>
    </row>
    <row r="56" ht="22" customHeight="1">
      <c r="A56" s="9" t="inlineStr">
        <is>
          <t>§5 Buckets de días — cómo se calcula</t>
        </is>
      </c>
      <c r="B56" s="10" t="n"/>
      <c r="C56" s="10" t="n"/>
      <c r="D56" s="10" t="n"/>
    </row>
    <row r="57">
      <c r="A57" s="11" t="inlineStr">
        <is>
          <t>Métrica</t>
        </is>
      </c>
      <c r="B57" s="11" t="inlineStr">
        <is>
          <t>Fórmula en Excel</t>
        </is>
      </c>
      <c r="C57" s="11" t="inlineStr">
        <is>
          <t>Origen del dato</t>
        </is>
      </c>
      <c r="D57" s="11" t="inlineStr">
        <is>
          <t>Lectura</t>
        </is>
      </c>
    </row>
    <row r="58" ht="36" customHeight="1">
      <c r="A58" s="12" t="inlineStr">
        <is>
          <t>Bucket (col A)</t>
        </is>
      </c>
      <c r="B58" s="12" t="inlineStr">
        <is>
          <t>Rangos fijos: 0–30 / 31–90 / 91–180 / 181–365 / 366+ días</t>
        </is>
      </c>
      <c r="C58" s="12" t="inlineStr">
        <is>
          <t>—</t>
        </is>
      </c>
      <c r="D58" s="12" t="inlineStr">
        <is>
          <t>Días entre fecha_venta y primer fecha_servicio</t>
        </is>
      </c>
    </row>
    <row r="59" ht="36" customHeight="1">
      <c r="A59" s="12" t="inlineStr">
        <is>
          <t>Conteo por marca (B/C/D)</t>
        </is>
      </c>
      <c r="B59" s="12" t="inlineStr">
        <is>
          <t>COUNT VINs cuyo primer servicio cae en ese bucket</t>
        </is>
      </c>
      <c r="C59" s="12" t="inlineStr">
        <is>
          <t>Pre-calculado por SQL</t>
        </is>
      </c>
      <c r="D59" s="12" t="inlineStr">
        <is>
          <t>Suma vertical por marca = 'Con ≥1 servicio' de §5</t>
        </is>
      </c>
    </row>
    <row r="60" ht="36" customHeight="1">
      <c r="A60" s="12" t="inlineStr">
        <is>
          <t>Total por bucket (col E)</t>
        </is>
      </c>
      <c r="B60" s="12">
        <f> B + C + D</f>
        <v/>
      </c>
      <c r="C60" s="12" t="inlineStr">
        <is>
          <t>Fórmula viva</t>
        </is>
      </c>
      <c r="D60" s="12" t="inlineStr">
        <is>
          <t>Cuántos servicios cayeron en ese rango sumando chinas</t>
        </is>
      </c>
    </row>
    <row r="61" ht="36" customHeight="1">
      <c r="A61" s="12" t="inlineStr">
        <is>
          <t>Total con servicio (última fila)</t>
        </is>
      </c>
      <c r="B61" s="12">
        <f> SUM por columna</f>
        <v/>
      </c>
      <c r="C61" s="12" t="inlineStr">
        <is>
          <t>Fórmula viva</t>
        </is>
      </c>
      <c r="D61" s="12" t="inlineStr">
        <is>
          <t>Debe igualar el 'Con ≥1 servicio' de §5</t>
        </is>
      </c>
    </row>
    <row r="63" ht="22" customHeight="1">
      <c r="A63" s="9" t="inlineStr">
        <is>
          <t>Caveats al leer / citar</t>
        </is>
      </c>
      <c r="B63" s="10" t="n"/>
      <c r="C63" s="10" t="n"/>
      <c r="D63" s="10" t="n"/>
    </row>
    <row r="64">
      <c r="A64" s="11" t="inlineStr">
        <is>
          <t>Tema</t>
        </is>
      </c>
      <c r="B64" s="11" t="inlineStr">
        <is>
          <t>Caveat</t>
        </is>
      </c>
      <c r="C64" s="11" t="inlineStr">
        <is>
          <t>Cómo blindar el dato</t>
        </is>
      </c>
      <c r="D64" s="11" t="inlineStr">
        <is>
          <t>Notas</t>
        </is>
      </c>
    </row>
    <row r="65" ht="36" customHeight="1">
      <c r="A65" s="12" t="inlineStr">
        <is>
          <t>Junio 2026 parcial</t>
        </is>
      </c>
      <c r="B65" s="12" t="inlineStr">
        <is>
          <t>Importes inconsistentes vs unidades (CHANGAN $46K/uds, GAC $61K/uds)</t>
        </is>
      </c>
      <c r="C65" s="12" t="inlineStr">
        <is>
          <t>Validar con Inés antes de citar junio aislado</t>
        </is>
      </c>
      <c r="D65" s="12" t="inlineStr">
        <is>
          <t>Marcado con (*) en celdas</t>
        </is>
      </c>
    </row>
    <row r="66" ht="36" customHeight="1">
      <c r="A66" s="12" t="inlineStr">
        <is>
          <t>Cobertura sesgada</t>
        </is>
      </c>
      <c r="B66" s="12" t="inlineStr">
        <is>
          <t>Autos vendidos en may/jun 2026 tienen ventana corta para haber regresado</t>
        </is>
      </c>
      <c r="C66" s="12" t="inlineStr">
        <is>
          <t>Para retención 'real' filtrar a cohortes con ≥6 meses</t>
        </is>
      </c>
      <c r="D66" s="12" t="inlineStr">
        <is>
          <t>Sesga la cobertura hacia abajo</t>
        </is>
      </c>
    </row>
    <row r="67" ht="36" customHeight="1">
      <c r="A67" s="12" t="inlineStr">
        <is>
          <t>Peak 0–30 días</t>
        </is>
      </c>
      <c r="B67" s="12" t="inlineStr">
        <is>
          <t>1,568 servicios combinados — incluye PDI, garantía inicial, cortesía</t>
        </is>
      </c>
      <c r="C67" s="12" t="inlineStr">
        <is>
          <t>Para 'mantenimiento programado puro' excluir Tipo Orden GARANTIA</t>
        </is>
      </c>
      <c r="D67" s="12" t="inlineStr">
        <is>
          <t>Especialmente fuerte en GWM</t>
        </is>
      </c>
    </row>
    <row r="68" ht="36" customHeight="1">
      <c r="A68" s="12" t="inlineStr">
        <is>
          <t>Hojalatería GWM</t>
        </is>
      </c>
      <c r="B68" s="12" t="inlineStr">
        <is>
          <t>GWM concentra 98% del HyP de las 3 chinas ($6.14M)</t>
        </is>
      </c>
      <c r="C68" s="12" t="inlineStr">
        <is>
          <t>Validar si Marca del cubo 30008 = marca del auto o del dealer</t>
        </is>
      </c>
      <c r="D68" s="12" t="inlineStr">
        <is>
          <t>Dealer GWM puede estar atendiendo HyP de otras marcas</t>
        </is>
      </c>
    </row>
    <row r="69" ht="36" customHeight="1">
      <c r="A69" s="12" t="inlineStr">
        <is>
          <t>Mediana del Total Chinas</t>
        </is>
      </c>
      <c r="B69" s="12" t="inlineStr">
        <is>
          <t>No es agregable matemáticamente — el valor 40 viene del query original sobre el dataset completo, no de mezclar las medianas por marca</t>
        </is>
      </c>
      <c r="C69" s="12" t="inlineStr">
        <is>
          <t>Si reproduces, corre el query sobre el universo completo, no promedies medianas</t>
        </is>
      </c>
      <c r="D69" s="12" t="inlineStr">
        <is>
          <t>Limitación de cualquier estadística no-aditiva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2" customHeight="1">
      <c r="A1" s="13" t="inlineStr">
        <is>
          <t>Mes</t>
        </is>
      </c>
      <c r="B1" s="13" t="inlineStr">
        <is>
          <t>CHANGAN uds</t>
        </is>
      </c>
      <c r="C1" s="13" t="inlineStr">
        <is>
          <t>GAC uds</t>
        </is>
      </c>
      <c r="D1" s="13" t="inlineStr">
        <is>
          <t>GWM uds</t>
        </is>
      </c>
      <c r="E1" s="13" t="inlineStr">
        <is>
          <t>CHANGAN $</t>
        </is>
      </c>
      <c r="F1" s="13" t="inlineStr">
        <is>
          <t>GAC $</t>
        </is>
      </c>
      <c r="G1" s="13" t="inlineStr">
        <is>
          <t>GWM $</t>
        </is>
      </c>
      <c r="H1" s="13" t="inlineStr">
        <is>
          <t>Total uds</t>
        </is>
      </c>
    </row>
    <row r="2">
      <c r="A2" s="14" t="inlineStr">
        <is>
          <t>2025/01</t>
        </is>
      </c>
      <c r="B2" s="15" t="n">
        <v>47</v>
      </c>
      <c r="C2" s="15" t="n">
        <v>151</v>
      </c>
      <c r="D2" s="15" t="n">
        <v>114</v>
      </c>
      <c r="E2" s="16" t="n">
        <v>17000000</v>
      </c>
      <c r="F2" s="16" t="n">
        <v>68000000</v>
      </c>
      <c r="G2" s="16" t="n">
        <v>47400000</v>
      </c>
      <c r="H2" s="15">
        <f>B2+C2+D2</f>
        <v/>
      </c>
    </row>
    <row r="3">
      <c r="A3" s="14" t="inlineStr">
        <is>
          <t>2025/02</t>
        </is>
      </c>
      <c r="B3" s="15" t="n">
        <v>61</v>
      </c>
      <c r="C3" s="15" t="n">
        <v>58</v>
      </c>
      <c r="D3" s="15" t="n">
        <v>117</v>
      </c>
      <c r="E3" s="16" t="n">
        <v>18600000</v>
      </c>
      <c r="F3" s="16" t="n">
        <v>27500000</v>
      </c>
      <c r="G3" s="16" t="n">
        <v>51400000</v>
      </c>
      <c r="H3" s="15">
        <f>B3+C3+D3</f>
        <v/>
      </c>
    </row>
    <row r="4">
      <c r="A4" s="14" t="inlineStr">
        <is>
          <t>2025/03</t>
        </is>
      </c>
      <c r="B4" s="15" t="n">
        <v>95</v>
      </c>
      <c r="C4" s="15" t="n">
        <v>75</v>
      </c>
      <c r="D4" s="15" t="n">
        <v>120</v>
      </c>
      <c r="E4" s="16" t="n">
        <v>31600000</v>
      </c>
      <c r="F4" s="16" t="n">
        <v>37500000</v>
      </c>
      <c r="G4" s="16" t="n">
        <v>49800000</v>
      </c>
      <c r="H4" s="15">
        <f>B4+C4+D4</f>
        <v/>
      </c>
    </row>
    <row r="5">
      <c r="A5" s="14" t="inlineStr">
        <is>
          <t>2025/04</t>
        </is>
      </c>
      <c r="B5" s="15" t="n">
        <v>106</v>
      </c>
      <c r="C5" s="15" t="n">
        <v>43</v>
      </c>
      <c r="D5" s="15" t="n">
        <v>104</v>
      </c>
      <c r="E5" s="16" t="n">
        <v>35200000</v>
      </c>
      <c r="F5" s="16" t="n">
        <v>17700000</v>
      </c>
      <c r="G5" s="16" t="n">
        <v>32100000</v>
      </c>
      <c r="H5" s="15">
        <f>B5+C5+D5</f>
        <v/>
      </c>
    </row>
    <row r="6">
      <c r="A6" s="14" t="inlineStr">
        <is>
          <t>2025/05</t>
        </is>
      </c>
      <c r="B6" s="15" t="n">
        <v>158</v>
      </c>
      <c r="C6" s="15" t="n">
        <v>82</v>
      </c>
      <c r="D6" s="15" t="n">
        <v>89</v>
      </c>
      <c r="E6" s="16" t="n">
        <v>49500000</v>
      </c>
      <c r="F6" s="16" t="n">
        <v>32900000</v>
      </c>
      <c r="G6" s="16" t="n">
        <v>32900000</v>
      </c>
      <c r="H6" s="15">
        <f>B6+C6+D6</f>
        <v/>
      </c>
    </row>
    <row r="7">
      <c r="A7" s="14" t="inlineStr">
        <is>
          <t>2025/06</t>
        </is>
      </c>
      <c r="B7" s="15" t="n">
        <v>138</v>
      </c>
      <c r="C7" s="15" t="n">
        <v>74</v>
      </c>
      <c r="D7" s="15" t="n">
        <v>111</v>
      </c>
      <c r="E7" s="16" t="n">
        <v>44400000</v>
      </c>
      <c r="F7" s="16" t="n">
        <v>36800000</v>
      </c>
      <c r="G7" s="16" t="n">
        <v>36300000</v>
      </c>
      <c r="H7" s="15">
        <f>B7+C7+D7</f>
        <v/>
      </c>
    </row>
    <row r="8">
      <c r="A8" s="14" t="inlineStr">
        <is>
          <t>2025/07</t>
        </is>
      </c>
      <c r="B8" s="15" t="n">
        <v>191</v>
      </c>
      <c r="C8" s="15" t="n">
        <v>110</v>
      </c>
      <c r="D8" s="15" t="n">
        <v>103</v>
      </c>
      <c r="E8" s="16" t="n">
        <v>60700000</v>
      </c>
      <c r="F8" s="16" t="n">
        <v>53800000</v>
      </c>
      <c r="G8" s="16" t="n">
        <v>45700000</v>
      </c>
      <c r="H8" s="15">
        <f>B8+C8+D8</f>
        <v/>
      </c>
    </row>
    <row r="9">
      <c r="A9" s="14" t="inlineStr">
        <is>
          <t>2025/08</t>
        </is>
      </c>
      <c r="B9" s="15" t="n">
        <v>207</v>
      </c>
      <c r="C9" s="15" t="n">
        <v>116</v>
      </c>
      <c r="D9" s="15" t="n">
        <v>148</v>
      </c>
      <c r="E9" s="16" t="n">
        <v>66600000</v>
      </c>
      <c r="F9" s="16" t="n">
        <v>55000000</v>
      </c>
      <c r="G9" s="16" t="n">
        <v>48600000</v>
      </c>
      <c r="H9" s="15">
        <f>B9+C9+D9</f>
        <v/>
      </c>
    </row>
    <row r="10">
      <c r="A10" s="14" t="inlineStr">
        <is>
          <t>2025/09</t>
        </is>
      </c>
      <c r="B10" s="15" t="n">
        <v>185</v>
      </c>
      <c r="C10" s="15" t="n">
        <v>107</v>
      </c>
      <c r="D10" s="15" t="n">
        <v>129</v>
      </c>
      <c r="E10" s="16" t="n">
        <v>65300000</v>
      </c>
      <c r="F10" s="16" t="n">
        <v>44300000</v>
      </c>
      <c r="G10" s="16" t="n">
        <v>43000000</v>
      </c>
      <c r="H10" s="15">
        <f>B10+C10+D10</f>
        <v/>
      </c>
    </row>
    <row r="11">
      <c r="A11" s="14" t="inlineStr">
        <is>
          <t>2025/10</t>
        </is>
      </c>
      <c r="B11" s="15" t="n">
        <v>216</v>
      </c>
      <c r="C11" s="15" t="n">
        <v>95</v>
      </c>
      <c r="D11" s="15" t="n">
        <v>106</v>
      </c>
      <c r="E11" s="16" t="n">
        <v>69700000</v>
      </c>
      <c r="F11" s="16" t="n">
        <v>34000000</v>
      </c>
      <c r="G11" s="16" t="n">
        <v>34600000</v>
      </c>
      <c r="H11" s="15">
        <f>B11+C11+D11</f>
        <v/>
      </c>
    </row>
    <row r="12">
      <c r="A12" s="14" t="inlineStr">
        <is>
          <t>2025/11</t>
        </is>
      </c>
      <c r="B12" s="15" t="n">
        <v>146</v>
      </c>
      <c r="C12" s="15" t="n">
        <v>86</v>
      </c>
      <c r="D12" s="15" t="n">
        <v>129</v>
      </c>
      <c r="E12" s="16" t="n">
        <v>49200000</v>
      </c>
      <c r="F12" s="16" t="n">
        <v>41700000</v>
      </c>
      <c r="G12" s="16" t="n">
        <v>62800000</v>
      </c>
      <c r="H12" s="15">
        <f>B12+C12+D12</f>
        <v/>
      </c>
    </row>
    <row r="13">
      <c r="A13" s="14" t="inlineStr">
        <is>
          <t>2025/12</t>
        </is>
      </c>
      <c r="B13" s="15" t="n">
        <v>191</v>
      </c>
      <c r="C13" s="15" t="n">
        <v>99</v>
      </c>
      <c r="D13" s="15" t="n">
        <v>136</v>
      </c>
      <c r="E13" s="16" t="n">
        <v>54400000</v>
      </c>
      <c r="F13" s="16" t="n">
        <v>40900000</v>
      </c>
      <c r="G13" s="16" t="n">
        <v>52300000</v>
      </c>
      <c r="H13" s="15">
        <f>B13+C13+D13</f>
        <v/>
      </c>
    </row>
    <row r="14">
      <c r="A14" s="17" t="inlineStr">
        <is>
          <t>Total 2025</t>
        </is>
      </c>
      <c r="B14" s="18">
        <f>SUM(B2:B13)</f>
        <v/>
      </c>
      <c r="C14" s="18">
        <f>SUM(C2:C13)</f>
        <v/>
      </c>
      <c r="D14" s="18">
        <f>SUM(D2:D13)</f>
        <v/>
      </c>
      <c r="E14" s="19">
        <f>SUM(E2:E13)</f>
        <v/>
      </c>
      <c r="F14" s="19">
        <f>SUM(F2:F13)</f>
        <v/>
      </c>
      <c r="G14" s="19">
        <f>SUM(G2:G13)</f>
        <v/>
      </c>
      <c r="H14" s="18">
        <f>SUM(H2:H13)</f>
        <v/>
      </c>
    </row>
    <row r="15">
      <c r="A15" s="14" t="inlineStr">
        <is>
          <t>2026/01</t>
        </is>
      </c>
      <c r="B15" s="15" t="n">
        <v>121</v>
      </c>
      <c r="C15" s="15" t="n">
        <v>68</v>
      </c>
      <c r="D15" s="15" t="n">
        <v>114</v>
      </c>
      <c r="E15" s="16" t="n">
        <v>36600000</v>
      </c>
      <c r="F15" s="16" t="n">
        <v>28400000</v>
      </c>
      <c r="G15" s="16" t="n">
        <v>36900000</v>
      </c>
      <c r="H15" s="15">
        <f>B15+C15+D15</f>
        <v/>
      </c>
    </row>
    <row r="16">
      <c r="A16" s="14" t="inlineStr">
        <is>
          <t>2026/02</t>
        </is>
      </c>
      <c r="B16" s="15" t="n">
        <v>104</v>
      </c>
      <c r="C16" s="15" t="n">
        <v>84</v>
      </c>
      <c r="D16" s="15" t="n">
        <v>86</v>
      </c>
      <c r="E16" s="16" t="n">
        <v>35100000</v>
      </c>
      <c r="F16" s="16" t="n">
        <v>34700000</v>
      </c>
      <c r="G16" s="16" t="n">
        <v>37500000</v>
      </c>
      <c r="H16" s="15">
        <f>B16+C16+D16</f>
        <v/>
      </c>
    </row>
    <row r="17">
      <c r="A17" s="14" t="inlineStr">
        <is>
          <t>2026/03</t>
        </is>
      </c>
      <c r="B17" s="15" t="n">
        <v>155</v>
      </c>
      <c r="C17" s="15" t="n">
        <v>140</v>
      </c>
      <c r="D17" s="15" t="n">
        <v>94</v>
      </c>
      <c r="E17" s="16" t="n">
        <v>52900000</v>
      </c>
      <c r="F17" s="16" t="n">
        <v>60100000</v>
      </c>
      <c r="G17" s="16" t="n">
        <v>41400000</v>
      </c>
      <c r="H17" s="15">
        <f>B17+C17+D17</f>
        <v/>
      </c>
    </row>
    <row r="18">
      <c r="A18" s="14" t="inlineStr">
        <is>
          <t>2026/04</t>
        </is>
      </c>
      <c r="B18" s="15" t="n">
        <v>160</v>
      </c>
      <c r="C18" s="15" t="n">
        <v>92</v>
      </c>
      <c r="D18" s="15" t="n">
        <v>75</v>
      </c>
      <c r="E18" s="16" t="n">
        <v>48900000</v>
      </c>
      <c r="F18" s="16" t="n">
        <v>41100000</v>
      </c>
      <c r="G18" s="16" t="n">
        <v>28500000</v>
      </c>
      <c r="H18" s="15">
        <f>B18+C18+D18</f>
        <v/>
      </c>
    </row>
    <row r="19">
      <c r="A19" s="14" t="inlineStr">
        <is>
          <t>2026/05</t>
        </is>
      </c>
      <c r="B19" s="15" t="n">
        <v>133</v>
      </c>
      <c r="C19" s="15" t="n">
        <v>171</v>
      </c>
      <c r="D19" s="15" t="n">
        <v>77</v>
      </c>
      <c r="E19" s="16" t="n">
        <v>40900000</v>
      </c>
      <c r="F19" s="16" t="n">
        <v>73600000</v>
      </c>
      <c r="G19" s="16" t="n">
        <v>27400000</v>
      </c>
      <c r="H19" s="15">
        <f>B19+C19+D19</f>
        <v/>
      </c>
    </row>
    <row r="20">
      <c r="A20" s="20" t="inlineStr">
        <is>
          <t>2026/06 *</t>
        </is>
      </c>
      <c r="B20" s="21" t="n">
        <v>45</v>
      </c>
      <c r="C20" s="21" t="n">
        <v>103</v>
      </c>
      <c r="D20" s="21" t="n">
        <v>20</v>
      </c>
      <c r="E20" s="22" t="n">
        <v>2100000</v>
      </c>
      <c r="F20" s="22" t="n">
        <v>6300000</v>
      </c>
      <c r="G20" s="22" t="n">
        <v>6900000</v>
      </c>
      <c r="H20" s="21">
        <f>B20+C20+D20</f>
        <v/>
      </c>
    </row>
    <row r="21">
      <c r="A21" s="17" t="inlineStr">
        <is>
          <t>Total 2026 YTD</t>
        </is>
      </c>
      <c r="B21" s="18">
        <f>SUM(B15:B20)</f>
        <v/>
      </c>
      <c r="C21" s="18">
        <f>SUM(C15:C20)</f>
        <v/>
      </c>
      <c r="D21" s="18">
        <f>SUM(D15:D20)</f>
        <v/>
      </c>
      <c r="E21" s="19">
        <f>SUM(E15:E20)</f>
        <v/>
      </c>
      <c r="F21" s="19">
        <f>SUM(F15:F20)</f>
        <v/>
      </c>
      <c r="G21" s="19">
        <f>SUM(G15:G20)</f>
        <v/>
      </c>
      <c r="H21" s="18">
        <f>SUM(H15:H20)</f>
        <v/>
      </c>
    </row>
    <row r="22">
      <c r="A22" s="23" t="inlineStr">
        <is>
          <t>Acumulado 2025+26 YTD</t>
        </is>
      </c>
      <c r="B22" s="24">
        <f>B14+B21</f>
        <v/>
      </c>
      <c r="C22" s="24">
        <f>C14+C21</f>
        <v/>
      </c>
      <c r="D22" s="24">
        <f>D14+D21</f>
        <v/>
      </c>
      <c r="E22" s="25">
        <f>E14+E21</f>
        <v/>
      </c>
      <c r="F22" s="25">
        <f>F14+F21</f>
        <v/>
      </c>
      <c r="G22" s="25">
        <f>G14+G21</f>
        <v/>
      </c>
      <c r="H22" s="24">
        <f>H14+H21</f>
        <v/>
      </c>
    </row>
    <row r="24">
      <c r="A24" s="26" t="inlineStr">
        <is>
          <t>(*) Junio 2026 parcial al 15-jun. Importes incompletos en DMS. Validar con Inés antes de citar.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2" customHeight="1">
      <c r="A1" s="13" t="inlineStr">
        <is>
          <t>Mes</t>
        </is>
      </c>
      <c r="B1" s="13" t="inlineStr">
        <is>
          <t>CHANGAN OR</t>
        </is>
      </c>
      <c r="C1" s="13" t="inlineStr">
        <is>
          <t>GAC OR</t>
        </is>
      </c>
      <c r="D1" s="13" t="inlineStr">
        <is>
          <t>GWM OR</t>
        </is>
      </c>
      <c r="E1" s="13" t="inlineStr">
        <is>
          <t>Total OR</t>
        </is>
      </c>
    </row>
    <row r="2">
      <c r="A2" s="14" t="inlineStr">
        <is>
          <t>2025/01</t>
        </is>
      </c>
      <c r="B2" s="15" t="n">
        <v>68</v>
      </c>
      <c r="C2" s="15" t="n">
        <v>90</v>
      </c>
      <c r="D2" s="15" t="n">
        <v>162</v>
      </c>
      <c r="E2" s="15">
        <f>B2+C2+D2</f>
        <v/>
      </c>
    </row>
    <row r="3">
      <c r="A3" s="14" t="inlineStr">
        <is>
          <t>2025/02</t>
        </is>
      </c>
      <c r="B3" s="15" t="n">
        <v>101</v>
      </c>
      <c r="C3" s="15" t="n">
        <v>104</v>
      </c>
      <c r="D3" s="15" t="n">
        <v>214</v>
      </c>
      <c r="E3" s="15">
        <f>B3+C3+D3</f>
        <v/>
      </c>
    </row>
    <row r="4">
      <c r="A4" s="14" t="inlineStr">
        <is>
          <t>2025/03</t>
        </is>
      </c>
      <c r="B4" s="15" t="n">
        <v>98</v>
      </c>
      <c r="C4" s="15" t="n">
        <v>255</v>
      </c>
      <c r="D4" s="15" t="n">
        <v>209</v>
      </c>
      <c r="E4" s="15">
        <f>B4+C4+D4</f>
        <v/>
      </c>
    </row>
    <row r="5">
      <c r="A5" s="14" t="inlineStr">
        <is>
          <t>2025/04</t>
        </is>
      </c>
      <c r="B5" s="15" t="n">
        <v>144</v>
      </c>
      <c r="C5" s="15" t="n">
        <v>234</v>
      </c>
      <c r="D5" s="15" t="n">
        <v>310</v>
      </c>
      <c r="E5" s="15">
        <f>B5+C5+D5</f>
        <v/>
      </c>
    </row>
    <row r="6">
      <c r="A6" s="14" t="inlineStr">
        <is>
          <t>2025/05</t>
        </is>
      </c>
      <c r="B6" s="15" t="n">
        <v>151</v>
      </c>
      <c r="C6" s="15" t="n">
        <v>271</v>
      </c>
      <c r="D6" s="15" t="n">
        <v>275</v>
      </c>
      <c r="E6" s="15">
        <f>B6+C6+D6</f>
        <v/>
      </c>
    </row>
    <row r="7">
      <c r="A7" s="14" t="inlineStr">
        <is>
          <t>2025/06</t>
        </is>
      </c>
      <c r="B7" s="15" t="n">
        <v>163</v>
      </c>
      <c r="C7" s="15" t="n">
        <v>218</v>
      </c>
      <c r="D7" s="15" t="n">
        <v>280</v>
      </c>
      <c r="E7" s="15">
        <f>B7+C7+D7</f>
        <v/>
      </c>
    </row>
    <row r="8">
      <c r="A8" s="14" t="inlineStr">
        <is>
          <t>2025/07</t>
        </is>
      </c>
      <c r="B8" s="15" t="n">
        <v>174</v>
      </c>
      <c r="C8" s="15" t="n">
        <v>251</v>
      </c>
      <c r="D8" s="15" t="n">
        <v>340</v>
      </c>
      <c r="E8" s="15">
        <f>B8+C8+D8</f>
        <v/>
      </c>
    </row>
    <row r="9">
      <c r="A9" s="14" t="inlineStr">
        <is>
          <t>2025/08</t>
        </is>
      </c>
      <c r="B9" s="15" t="n">
        <v>170</v>
      </c>
      <c r="C9" s="15" t="n">
        <v>244</v>
      </c>
      <c r="D9" s="15" t="n">
        <v>315</v>
      </c>
      <c r="E9" s="15">
        <f>B9+C9+D9</f>
        <v/>
      </c>
    </row>
    <row r="10">
      <c r="A10" s="14" t="inlineStr">
        <is>
          <t>2025/09</t>
        </is>
      </c>
      <c r="B10" s="15" t="n">
        <v>191</v>
      </c>
      <c r="C10" s="15" t="n">
        <v>299</v>
      </c>
      <c r="D10" s="15" t="n">
        <v>310</v>
      </c>
      <c r="E10" s="15">
        <f>B10+C10+D10</f>
        <v/>
      </c>
    </row>
    <row r="11">
      <c r="A11" s="14" t="inlineStr">
        <is>
          <t>2025/10</t>
        </is>
      </c>
      <c r="B11" s="15" t="n">
        <v>236</v>
      </c>
      <c r="C11" s="15" t="n">
        <v>332</v>
      </c>
      <c r="D11" s="15" t="n">
        <v>331</v>
      </c>
      <c r="E11" s="15">
        <f>B11+C11+D11</f>
        <v/>
      </c>
    </row>
    <row r="12">
      <c r="A12" s="14" t="inlineStr">
        <is>
          <t>2025/11</t>
        </is>
      </c>
      <c r="B12" s="15" t="n">
        <v>224</v>
      </c>
      <c r="C12" s="15" t="n">
        <v>286</v>
      </c>
      <c r="D12" s="15" t="n">
        <v>289</v>
      </c>
      <c r="E12" s="15">
        <f>B12+C12+D12</f>
        <v/>
      </c>
    </row>
    <row r="13">
      <c r="A13" s="14" t="inlineStr">
        <is>
          <t>2025/12</t>
        </is>
      </c>
      <c r="B13" s="15" t="n">
        <v>298</v>
      </c>
      <c r="C13" s="15" t="n">
        <v>308</v>
      </c>
      <c r="D13" s="15" t="n">
        <v>399</v>
      </c>
      <c r="E13" s="15">
        <f>B13+C13+D13</f>
        <v/>
      </c>
    </row>
    <row r="14">
      <c r="A14" s="17" t="inlineStr">
        <is>
          <t>Total 2025</t>
        </is>
      </c>
      <c r="B14" s="18">
        <f>SUM(B2:B13)</f>
        <v/>
      </c>
      <c r="C14" s="18">
        <f>SUM(C2:C13)</f>
        <v/>
      </c>
      <c r="D14" s="18">
        <f>SUM(D2:D13)</f>
        <v/>
      </c>
      <c r="E14" s="18">
        <f>SUM(E2:E13)</f>
        <v/>
      </c>
    </row>
    <row r="15">
      <c r="A15" s="14" t="inlineStr">
        <is>
          <t>2026/01</t>
        </is>
      </c>
      <c r="B15" s="15" t="n">
        <v>294</v>
      </c>
      <c r="C15" s="15" t="n">
        <v>376</v>
      </c>
      <c r="D15" s="15" t="n">
        <v>447</v>
      </c>
      <c r="E15" s="15">
        <f>B15+C15+D15</f>
        <v/>
      </c>
    </row>
    <row r="16">
      <c r="A16" s="14" t="inlineStr">
        <is>
          <t>2026/02</t>
        </is>
      </c>
      <c r="B16" s="15" t="n">
        <v>267</v>
      </c>
      <c r="C16" s="15" t="n">
        <v>396</v>
      </c>
      <c r="D16" s="15" t="n">
        <v>385</v>
      </c>
      <c r="E16" s="15">
        <f>B16+C16+D16</f>
        <v/>
      </c>
    </row>
    <row r="17">
      <c r="A17" s="14" t="inlineStr">
        <is>
          <t>2026/03</t>
        </is>
      </c>
      <c r="B17" s="15" t="n">
        <v>320</v>
      </c>
      <c r="C17" s="15" t="n">
        <v>416</v>
      </c>
      <c r="D17" s="15" t="n">
        <v>436</v>
      </c>
      <c r="E17" s="15">
        <f>B17+C17+D17</f>
        <v/>
      </c>
    </row>
    <row r="18">
      <c r="A18" s="14" t="inlineStr">
        <is>
          <t>2026/04</t>
        </is>
      </c>
      <c r="B18" s="15" t="n">
        <v>285</v>
      </c>
      <c r="C18" s="15" t="n">
        <v>420</v>
      </c>
      <c r="D18" s="15" t="n">
        <v>404</v>
      </c>
      <c r="E18" s="15">
        <f>B18+C18+D18</f>
        <v/>
      </c>
    </row>
    <row r="19">
      <c r="A19" s="14" t="inlineStr">
        <is>
          <t>2026/05</t>
        </is>
      </c>
      <c r="B19" s="15" t="n">
        <v>364</v>
      </c>
      <c r="C19" s="15" t="n">
        <v>406</v>
      </c>
      <c r="D19" s="15" t="n">
        <v>413</v>
      </c>
      <c r="E19" s="15">
        <f>B19+C19+D19</f>
        <v/>
      </c>
    </row>
    <row r="20">
      <c r="A20" s="20" t="inlineStr">
        <is>
          <t>2026/06 *</t>
        </is>
      </c>
      <c r="B20" s="21" t="n">
        <v>156</v>
      </c>
      <c r="C20" s="21" t="n">
        <v>194</v>
      </c>
      <c r="D20" s="21" t="n">
        <v>244</v>
      </c>
      <c r="E20" s="21">
        <f>B20+C20+D20</f>
        <v/>
      </c>
    </row>
    <row r="21">
      <c r="A21" s="17" t="inlineStr">
        <is>
          <t>Total 2026 YTD</t>
        </is>
      </c>
      <c r="B21" s="18">
        <f>SUM(B15:B20)</f>
        <v/>
      </c>
      <c r="C21" s="18">
        <f>SUM(C15:C20)</f>
        <v/>
      </c>
      <c r="D21" s="18">
        <f>SUM(D15:D20)</f>
        <v/>
      </c>
      <c r="E21" s="18">
        <f>SUM(E15:E20)</f>
        <v/>
      </c>
    </row>
    <row r="22">
      <c r="A22" s="23" t="inlineStr">
        <is>
          <t>Acumulado 2025+26 YTD</t>
        </is>
      </c>
      <c r="B22" s="24">
        <f>B14+B21</f>
        <v/>
      </c>
      <c r="C22" s="24">
        <f>C14+C21</f>
        <v/>
      </c>
      <c r="D22" s="24">
        <f>D14+D21</f>
        <v/>
      </c>
      <c r="E22" s="24">
        <f>E14+E21</f>
        <v/>
      </c>
    </row>
    <row r="24">
      <c r="A24" s="26" t="inlineStr">
        <is>
          <t>Filtro: Servicio (Público, Previa, Express, Reparación, Garantía, Aseguradora, Hojalatería, Estética). Excluye Internas, Devoluciones, Mostrador.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6" customWidth="1" min="4" max="4"/>
  </cols>
  <sheetData>
    <row r="1" ht="32" customHeight="1">
      <c r="A1" s="13" t="inlineStr">
        <is>
          <t>Marca</t>
        </is>
      </c>
      <c r="B1" s="13" t="inlineStr">
        <is>
          <t>OR distintas</t>
        </is>
      </c>
      <c r="C1" s="13" t="inlineStr">
        <is>
          <t>Uds vendidas</t>
        </is>
      </c>
      <c r="D1" s="13" t="inlineStr">
        <is>
          <t>Ratio OR/Venta</t>
        </is>
      </c>
    </row>
    <row r="2">
      <c r="A2" s="14" t="inlineStr">
        <is>
          <t>CHANGAN</t>
        </is>
      </c>
      <c r="B2" s="15">
        <f>'§2 OR Servicio mensuales'!B22</f>
        <v/>
      </c>
      <c r="C2" s="15">
        <f>'§1 Ventas mensuales'!B22</f>
        <v/>
      </c>
      <c r="D2" s="27">
        <f>B2/C2</f>
        <v/>
      </c>
    </row>
    <row r="3">
      <c r="A3" s="14" t="inlineStr">
        <is>
          <t>GAC</t>
        </is>
      </c>
      <c r="B3" s="15">
        <f>'§2 OR Servicio mensuales'!C22</f>
        <v/>
      </c>
      <c r="C3" s="15">
        <f>'§1 Ventas mensuales'!C22</f>
        <v/>
      </c>
      <c r="D3" s="27">
        <f>B3/C3</f>
        <v/>
      </c>
    </row>
    <row r="4">
      <c r="A4" s="14" t="inlineStr">
        <is>
          <t>GWM</t>
        </is>
      </c>
      <c r="B4" s="15">
        <f>'§2 OR Servicio mensuales'!D22</f>
        <v/>
      </c>
      <c r="C4" s="15">
        <f>'§1 Ventas mensuales'!D22</f>
        <v/>
      </c>
      <c r="D4" s="27">
        <f>B4/C4</f>
        <v/>
      </c>
    </row>
    <row r="6">
      <c r="A6" s="26" t="inlineStr">
        <is>
          <t>Ratio = OR del periodo / autos vendidos del periodo. Incluye autos de cohortes anteriores; no es frecuencia por unidad.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5" customWidth="1" min="4" max="4"/>
    <col width="20" customWidth="1" min="5" max="5"/>
    <col width="28" customWidth="1" min="6" max="6"/>
    <col width="20" customWidth="1" min="7" max="7"/>
  </cols>
  <sheetData>
    <row r="1" ht="32" customHeight="1">
      <c r="A1" s="13" t="inlineStr">
        <is>
          <t>Marca</t>
        </is>
      </c>
      <c r="B1" s="13" t="inlineStr">
        <is>
          <t>Servicio $</t>
        </is>
      </c>
      <c r="C1" s="13" t="inlineStr">
        <is>
          <t>Refacciones $</t>
        </is>
      </c>
      <c r="D1" s="13" t="inlineStr">
        <is>
          <t>Hojalatería $</t>
        </is>
      </c>
      <c r="E1" s="13" t="inlineStr">
        <is>
          <t>Total post-venta $</t>
        </is>
      </c>
      <c r="F1" s="13" t="inlineStr">
        <is>
          <t>Revenue venta $</t>
        </is>
      </c>
      <c r="G1" s="13" t="inlineStr">
        <is>
          <t>% vs Revenue venta</t>
        </is>
      </c>
    </row>
    <row r="2">
      <c r="A2" s="14" t="inlineStr">
        <is>
          <t>CHANGAN</t>
        </is>
      </c>
      <c r="B2" s="16" t="n">
        <v>3246432</v>
      </c>
      <c r="C2" s="16" t="n">
        <v>3895092</v>
      </c>
      <c r="D2" s="16" t="n">
        <v>87638</v>
      </c>
      <c r="E2" s="16">
        <f>B2+C2+D2</f>
        <v/>
      </c>
      <c r="F2" s="16">
        <f>'§1 Ventas mensuales'!E22</f>
        <v/>
      </c>
      <c r="G2" s="28">
        <f>E2/F2</f>
        <v/>
      </c>
    </row>
    <row r="3">
      <c r="A3" s="14" t="inlineStr">
        <is>
          <t>GAC</t>
        </is>
      </c>
      <c r="B3" s="16" t="n">
        <v>3651810</v>
      </c>
      <c r="C3" s="16" t="n">
        <v>8491002</v>
      </c>
      <c r="D3" s="16" t="n">
        <v>34591</v>
      </c>
      <c r="E3" s="16">
        <f>B3+C3+D3</f>
        <v/>
      </c>
      <c r="F3" s="16">
        <f>'§1 Ventas mensuales'!F22</f>
        <v/>
      </c>
      <c r="G3" s="28">
        <f>E3/F3</f>
        <v/>
      </c>
    </row>
    <row r="4">
      <c r="A4" s="14" t="inlineStr">
        <is>
          <t>GWM</t>
        </is>
      </c>
      <c r="B4" s="16" t="n">
        <v>4817297</v>
      </c>
      <c r="C4" s="16" t="n">
        <v>10008087</v>
      </c>
      <c r="D4" s="16" t="n">
        <v>6143904</v>
      </c>
      <c r="E4" s="16">
        <f>B4+C4+D4</f>
        <v/>
      </c>
      <c r="F4" s="16">
        <f>'§1 Ventas mensuales'!G22</f>
        <v/>
      </c>
      <c r="G4" s="28">
        <f>E4/F4</f>
        <v/>
      </c>
    </row>
    <row r="5">
      <c r="A5" s="23" t="inlineStr">
        <is>
          <t>TOTAL CHINAS</t>
        </is>
      </c>
      <c r="B5" s="25">
        <f>SUM(B2:B4)</f>
        <v/>
      </c>
      <c r="C5" s="25">
        <f>SUM(C2:C4)</f>
        <v/>
      </c>
      <c r="D5" s="25">
        <f>SUM(D2:D4)</f>
        <v/>
      </c>
      <c r="E5" s="25">
        <f>SUM(E2:E4)</f>
        <v/>
      </c>
      <c r="F5" s="25">
        <f>SUM(F2:F4)</f>
        <v/>
      </c>
      <c r="G5" s="29">
        <f>E5/F5</f>
        <v/>
      </c>
    </row>
    <row r="7">
      <c r="A7" s="26" t="inlineStr">
        <is>
          <t>Indicadores cubo 30008: I_30498 Servicio, I_30500 Refacciones, I_30499 Hojalatería. Revenue venta linkeado a §1 acumulado.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7" customWidth="1" min="3" max="3"/>
    <col width="13" customWidth="1" min="4" max="4"/>
    <col width="28" customWidth="1" min="5" max="5"/>
    <col width="14" customWidth="1" min="6" max="6"/>
    <col width="13" customWidth="1" min="7" max="7"/>
    <col width="13" customWidth="1" min="8" max="8"/>
  </cols>
  <sheetData>
    <row r="1" ht="32" customHeight="1">
      <c r="A1" s="13" t="inlineStr">
        <is>
          <t>Marca</t>
        </is>
      </c>
      <c r="B1" s="13" t="inlineStr">
        <is>
          <t>Vendidos en periodo</t>
        </is>
      </c>
      <c r="C1" s="13" t="inlineStr">
        <is>
          <t>Con ≥1 servicio</t>
        </is>
      </c>
      <c r="D1" s="13" t="inlineStr">
        <is>
          <t>% Cobertura</t>
        </is>
      </c>
      <c r="E1" s="13" t="inlineStr">
        <is>
          <t>Promedio días</t>
        </is>
      </c>
      <c r="F1" s="13" t="inlineStr">
        <is>
          <t>Mediana días</t>
        </is>
      </c>
      <c r="G1" s="13" t="inlineStr">
        <is>
          <t>Min</t>
        </is>
      </c>
      <c r="H1" s="13" t="inlineStr">
        <is>
          <t>Max</t>
        </is>
      </c>
    </row>
    <row r="2">
      <c r="A2" s="14" t="inlineStr">
        <is>
          <t>CHANGAN</t>
        </is>
      </c>
      <c r="B2" s="15" t="n">
        <v>1819</v>
      </c>
      <c r="C2" s="15" t="n">
        <v>1205</v>
      </c>
      <c r="D2" s="30">
        <f>C2/B2</f>
        <v/>
      </c>
      <c r="E2" s="15" t="n">
        <v>91</v>
      </c>
      <c r="F2" s="15" t="n">
        <v>46</v>
      </c>
      <c r="G2" s="15" t="n">
        <v>0</v>
      </c>
      <c r="H2" s="15" t="n">
        <v>461</v>
      </c>
    </row>
    <row r="3">
      <c r="A3" s="14" t="inlineStr">
        <is>
          <t>GAC</t>
        </is>
      </c>
      <c r="B3" s="15" t="n">
        <v>1402</v>
      </c>
      <c r="C3" s="15" t="n">
        <v>1055</v>
      </c>
      <c r="D3" s="30">
        <f>C3/B3</f>
        <v/>
      </c>
      <c r="E3" s="15" t="n">
        <v>66</v>
      </c>
      <c r="F3" s="15" t="n">
        <v>46</v>
      </c>
      <c r="G3" s="15" t="n">
        <v>0</v>
      </c>
      <c r="H3" s="15" t="n">
        <v>481</v>
      </c>
    </row>
    <row r="4">
      <c r="A4" s="14" t="inlineStr">
        <is>
          <t>GWM</t>
        </is>
      </c>
      <c r="B4" s="15" t="n">
        <v>1333</v>
      </c>
      <c r="C4" s="15" t="n">
        <v>1049</v>
      </c>
      <c r="D4" s="30">
        <f>C4/B4</f>
        <v/>
      </c>
      <c r="E4" s="15" t="n">
        <v>73</v>
      </c>
      <c r="F4" s="15" t="n">
        <v>27</v>
      </c>
      <c r="G4" s="15" t="n">
        <v>0</v>
      </c>
      <c r="H4" s="15" t="n">
        <v>437</v>
      </c>
    </row>
    <row r="5">
      <c r="A5" s="23" t="inlineStr">
        <is>
          <t>TOTAL CHINAS</t>
        </is>
      </c>
      <c r="B5" s="24">
        <f>SUM(B2:B4)</f>
        <v/>
      </c>
      <c r="C5" s="24">
        <f>SUM(C2:C4)</f>
        <v/>
      </c>
      <c r="D5" s="31">
        <f>C5/B5</f>
        <v/>
      </c>
      <c r="E5" s="24">
        <f>ROUND(SUMPRODUCT(E2:E4,C2:C4)/C5,0)</f>
        <v/>
      </c>
      <c r="F5" s="24" t="n">
        <v>40</v>
      </c>
      <c r="G5" s="24">
        <f>MIN(G2:G4)</f>
        <v/>
      </c>
      <c r="H5" s="24">
        <f>MAX(H2:H4)</f>
        <v/>
      </c>
    </row>
    <row r="7">
      <c r="A7" s="26" t="inlineStr">
        <is>
          <t>Método: join VIN entre 30003 y 30008. Solo Servicio. fecha_servicio ≥ fecha_venta. Mediana del total = valor del reporte (no es agregable con fórmula).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2" customHeight="1">
      <c r="A1" s="13" t="inlineStr">
        <is>
          <t>Bucket</t>
        </is>
      </c>
      <c r="B1" s="13" t="inlineStr">
        <is>
          <t>CHANGAN</t>
        </is>
      </c>
      <c r="C1" s="13" t="inlineStr">
        <is>
          <t>GAC</t>
        </is>
      </c>
      <c r="D1" s="13" t="inlineStr">
        <is>
          <t>GWM</t>
        </is>
      </c>
      <c r="E1" s="13" t="inlineStr">
        <is>
          <t>Total</t>
        </is>
      </c>
    </row>
    <row r="2">
      <c r="A2" s="14" t="inlineStr">
        <is>
          <t>0-30 d</t>
        </is>
      </c>
      <c r="B2" s="15" t="n">
        <v>533</v>
      </c>
      <c r="C2" s="15" t="n">
        <v>450</v>
      </c>
      <c r="D2" s="15" t="n">
        <v>585</v>
      </c>
      <c r="E2" s="15">
        <f>B2+C2+D2</f>
        <v/>
      </c>
    </row>
    <row r="3">
      <c r="A3" s="14" t="inlineStr">
        <is>
          <t>31-90 d</t>
        </is>
      </c>
      <c r="B3" s="15" t="n">
        <v>187</v>
      </c>
      <c r="C3" s="15" t="n">
        <v>260</v>
      </c>
      <c r="D3" s="15" t="n">
        <v>175</v>
      </c>
      <c r="E3" s="15">
        <f>B3+C3+D3</f>
        <v/>
      </c>
    </row>
    <row r="4">
      <c r="A4" s="14" t="inlineStr">
        <is>
          <t>91-180 d</t>
        </is>
      </c>
      <c r="B4" s="15" t="n">
        <v>214</v>
      </c>
      <c r="C4" s="15" t="n">
        <v>294</v>
      </c>
      <c r="D4" s="15" t="n">
        <v>106</v>
      </c>
      <c r="E4" s="15">
        <f>B4+C4+D4</f>
        <v/>
      </c>
    </row>
    <row r="5">
      <c r="A5" s="14" t="inlineStr">
        <is>
          <t>181-365 d</t>
        </is>
      </c>
      <c r="B5" s="15" t="n">
        <v>266</v>
      </c>
      <c r="C5" s="15" t="n">
        <v>49</v>
      </c>
      <c r="D5" s="15" t="n">
        <v>176</v>
      </c>
      <c r="E5" s="15">
        <f>B5+C5+D5</f>
        <v/>
      </c>
    </row>
    <row r="6">
      <c r="A6" s="14" t="inlineStr">
        <is>
          <t>366+ d</t>
        </is>
      </c>
      <c r="B6" s="15" t="n">
        <v>5</v>
      </c>
      <c r="C6" s="15" t="n">
        <v>2</v>
      </c>
      <c r="D6" s="15" t="n">
        <v>7</v>
      </c>
      <c r="E6" s="15">
        <f>B6+C6+D6</f>
        <v/>
      </c>
    </row>
    <row r="7">
      <c r="A7" s="23" t="inlineStr">
        <is>
          <t>Total con servicio</t>
        </is>
      </c>
      <c r="B7" s="24">
        <f>SUM(B2:B6)</f>
        <v/>
      </c>
      <c r="C7" s="24">
        <f>SUM(C2:C6)</f>
        <v/>
      </c>
      <c r="D7" s="24">
        <f>SUM(D2:D6)</f>
        <v/>
      </c>
      <c r="E7" s="24">
        <f>SUM(E2:E6)</f>
        <v/>
      </c>
    </row>
    <row r="9">
      <c r="A9" s="26" t="inlineStr">
        <is>
          <t>Pico 0–30 d probablemente incluye PDI, entregas, garantía inicial y cortesía — no necesariamente mantenimiento programado.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2026-06-24T16:31:19Z</dcterms:created>
  <dcterms:modified xsi:type="dcterms:W3CDTF">2026-06-24T16:31:19Z</dcterms:modified>
</cp:coreProperties>
</file>