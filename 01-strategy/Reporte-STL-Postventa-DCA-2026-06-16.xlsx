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Metodología" sheetId="2" state="visible" r:id="rId2"/>
    <sheet name="§1 Ventas mensuales" sheetId="3" state="visible" r:id="rId3"/>
    <sheet name="§2 OR Servicio mensuales" sheetId="4" state="visible" r:id="rId4"/>
    <sheet name="§3 Ratio OR sobre Venta" sheetId="5" state="visible" r:id="rId5"/>
    <sheet name="§4 Valor refacciones" sheetId="6" state="visible" r:id="rId6"/>
    <sheet name="§5 Tiempo a 1er servicio" sheetId="7" state="visible" r:id="rId7"/>
    <sheet name="§5 Buckets de dí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8">
    <font>
      <name val="Calibri"/>
      <family val="2"/>
      <color theme="1"/>
      <sz val="11"/>
      <scheme val="minor"/>
    </font>
    <font>
      <b val="1"/>
      <color rgb="00FFFFFF"/>
    </font>
    <font/>
    <font>
      <b val="1"/>
      <color rgb="001E2740"/>
    </font>
    <font>
      <i val="1"/>
      <color rgb="00718096"/>
    </font>
    <font>
      <b val="1"/>
      <color rgb="00ECC94B"/>
    </font>
    <font>
      <i val="1"/>
      <color rgb="00718096"/>
      <sz val="9"/>
    </font>
    <font>
      <name val="Calibri"/>
      <b val="1"/>
      <color rgb="001E2740"/>
      <sz val="22"/>
    </font>
    <font>
      <i val="1"/>
      <color rgb="004A5568"/>
      <sz val="12"/>
    </font>
    <font>
      <b val="1"/>
    </font>
    <font>
      <b val="1"/>
      <color rgb="001E2740"/>
      <sz val="13"/>
    </font>
    <font>
      <b val="1"/>
      <color rgb="00C8102E"/>
    </font>
    <font>
      <color rgb="004A5568"/>
    </font>
    <font>
      <i val="1"/>
      <color rgb="004A5568"/>
    </font>
    <font>
      <b val="1"/>
      <color rgb="001E2740"/>
      <sz val="18"/>
    </font>
    <font>
      <b val="1"/>
      <color rgb="00FFFFFF"/>
      <sz val="12"/>
    </font>
    <font>
      <b val="1"/>
      <color rgb="001E2740"/>
      <sz val="10"/>
    </font>
    <font>
      <color rgb="002D3748"/>
      <sz val="10"/>
    </font>
  </fonts>
  <fills count="4">
    <fill>
      <patternFill/>
    </fill>
    <fill>
      <patternFill patternType="gray125"/>
    </fill>
    <fill>
      <patternFill patternType="solid">
        <fgColor rgb="001E2740"/>
      </patternFill>
    </fill>
    <fill>
      <patternFill patternType="solid">
        <fgColor rgb="00CBD5E0"/>
      </patternFill>
    </fill>
  </fills>
  <borders count="2">
    <border>
      <left/>
      <right/>
      <top/>
      <bottom/>
      <diagonal/>
    </border>
    <border>
      <left style="thin">
        <color rgb="00A0AEC0"/>
      </left>
      <right style="thin">
        <color rgb="00A0AEC0"/>
      </right>
      <top style="thin">
        <color rgb="00A0AEC0"/>
      </top>
      <bottom style="thin">
        <color rgb="00A0AE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1" pivotButton="0" quotePrefix="0" xfId="0"/>
    <xf numFmtId="0" fontId="0" fillId="2" borderId="1" pivotButton="0" quotePrefix="0" xfId="0"/>
    <xf numFmtId="0" fontId="16" fillId="3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2" borderId="1" pivotButton="0" quotePrefix="0" xfId="0"/>
    <xf numFmtId="3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6" fillId="0" borderId="0" pivotButton="0" quotePrefix="0" xfId="0"/>
    <xf numFmtId="2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10" fontId="5" fillId="2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5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8" customWidth="1" min="2" max="2"/>
    <col width="90" customWidth="1" min="3" max="3"/>
  </cols>
  <sheetData>
    <row r="2">
      <c r="B2" s="1" t="inlineStr">
        <is>
          <t>Marcas Stellantis · Post-venta DCA</t>
        </is>
      </c>
    </row>
    <row r="3">
      <c r="B3" s="2" t="inlineStr">
        <is>
          <t>Ventas + OR Servicio + Refacciones + Tiempo a 1er servicio</t>
        </is>
      </c>
    </row>
    <row r="5">
      <c r="B5" s="3" t="inlineStr">
        <is>
          <t>Fecha de corte</t>
        </is>
      </c>
      <c r="C5" t="inlineStr">
        <is>
          <t>15-jun-2026</t>
        </is>
      </c>
    </row>
    <row r="6">
      <c r="B6" s="3" t="inlineStr">
        <is>
          <t>Fuente</t>
        </is>
      </c>
      <c r="C6" t="inlineStr">
        <is>
          <t>DCA · cubos 30003 + 30008 (BITAM Artus)</t>
        </is>
      </c>
    </row>
    <row r="7">
      <c r="B7" s="3" t="inlineStr">
        <is>
          <t>Periodo</t>
        </is>
      </c>
      <c r="C7" t="inlineStr">
        <is>
          <t>2025-01-01 a 2026-06-15</t>
        </is>
      </c>
    </row>
    <row r="8">
      <c r="B8" s="3" t="inlineStr">
        <is>
          <t>Marcas</t>
        </is>
      </c>
      <c r="C8" t="inlineStr">
        <is>
          <t>RAM · PEUGEOT · JEEP · DODGE · FIAT</t>
        </is>
      </c>
    </row>
    <row r="10">
      <c r="B10" s="4" t="inlineStr">
        <is>
          <t>Contenido por hoja (todas con fórmulas vivas)</t>
        </is>
      </c>
    </row>
    <row r="11">
      <c r="B11" s="5" t="inlineStr">
        <is>
          <t>§1 Ventas mensuales</t>
        </is>
      </c>
      <c r="C11" s="6" t="inlineStr">
        <is>
          <t>Subtotales/acumulado SUM. Total uds = sumade 5 marcas</t>
        </is>
      </c>
    </row>
    <row r="12">
      <c r="B12" s="5" t="inlineStr">
        <is>
          <t>§2 OR Servicio mensuales</t>
        </is>
      </c>
      <c r="C12" s="6" t="inlineStr">
        <is>
          <t>Igual a §1 con OR distinta</t>
        </is>
      </c>
    </row>
    <row r="13">
      <c r="B13" s="5" t="inlineStr">
        <is>
          <t>§3 Ratio OR sobre Venta</t>
        </is>
      </c>
      <c r="C13" s="6" t="inlineStr">
        <is>
          <t>OR y Uds linkeados a §1/§2. Ratio = OR/Uds</t>
        </is>
      </c>
    </row>
    <row r="14">
      <c r="B14" s="5" t="inlineStr">
        <is>
          <t>§4 Valor refacciones</t>
        </is>
      </c>
      <c r="C14" s="6" t="inlineStr">
        <is>
          <t>Total = SUM. Revenue linkeado a §1. % = Total/Revenue</t>
        </is>
      </c>
    </row>
    <row r="15">
      <c r="B15" s="5" t="inlineStr">
        <is>
          <t>§5 Tiempo a 1er servicio</t>
        </is>
      </c>
      <c r="C15" s="6" t="inlineStr">
        <is>
          <t>% Cobertura = Con servicio / Vendidos</t>
        </is>
      </c>
    </row>
    <row r="16">
      <c r="B16" s="5" t="inlineStr">
        <is>
          <t>§5 Buckets de días</t>
        </is>
      </c>
      <c r="C16" s="6" t="inlineStr">
        <is>
          <t>Total por bucket = SUM marcas</t>
        </is>
      </c>
    </row>
    <row r="18">
      <c r="B18" s="5" t="inlineStr">
        <is>
          <t>Hallazgo central</t>
        </is>
      </c>
      <c r="C18" s="7" t="inlineStr">
        <is>
          <t>STL retiene 14-21% de autos vendidos (vs 66-79% Chinas). PEUGEOT 46.8% único caso saludable. Brecha estructural de retención FCA.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50" customWidth="1" min="4" max="4"/>
  </cols>
  <sheetData>
    <row r="1">
      <c r="A1" s="8" t="inlineStr">
        <is>
          <t>Metodología · cómo se calculó cada número</t>
        </is>
      </c>
    </row>
    <row r="2">
      <c r="A2" s="7" t="inlineStr">
        <is>
          <t>Cada hoja del libro usa fórmulas vivas: si editas un mes, los totales/ratios/% recalculan solos. Aquí está la receta exacta de cada cálculo, con la celda dónde lo verificas.</t>
        </is>
      </c>
    </row>
    <row r="4" ht="22" customHeight="1">
      <c r="A4" s="9" t="inlineStr">
        <is>
          <t>0. Fuente, periodo y filtros base</t>
        </is>
      </c>
      <c r="B4" s="10" t="n"/>
      <c r="C4" s="10" t="n"/>
      <c r="D4" s="10" t="n"/>
    </row>
    <row r="5">
      <c r="A5" s="11" t="inlineStr">
        <is>
          <t>Tema</t>
        </is>
      </c>
      <c r="B5" s="11" t="inlineStr">
        <is>
          <t>Detalle</t>
        </is>
      </c>
      <c r="C5" s="11" t="inlineStr">
        <is>
          <t>Cubo / Campo</t>
        </is>
      </c>
      <c r="D5" s="11" t="inlineStr">
        <is>
          <t>Notas</t>
        </is>
      </c>
    </row>
    <row r="6" ht="36" customHeight="1">
      <c r="A6" s="12" t="inlineStr">
        <is>
          <t>Fuente</t>
        </is>
      </c>
      <c r="B6" s="12" t="inlineStr">
        <is>
          <t>BITAM Artus · D1 bitam-mkt (cubos 30003+30008)</t>
        </is>
      </c>
      <c r="C6" s="12" t="inlineStr">
        <is>
          <t>—</t>
        </is>
      </c>
      <c r="D6" s="12" t="inlineStr">
        <is>
          <t>Misma capa F (DCA) que reporte chinas</t>
        </is>
      </c>
    </row>
    <row r="7" ht="36" customHeight="1">
      <c r="A7" s="12" t="inlineStr">
        <is>
          <t>Marcas STL</t>
        </is>
      </c>
      <c r="B7" s="12" t="inlineStr">
        <is>
          <t>RAM, PEUGEOT, JEEP, DODGE, FIAT (Marca del auto)</t>
        </is>
      </c>
      <c r="C7" s="12" t="inlineStr">
        <is>
          <t>D_67 Marca</t>
        </is>
      </c>
      <c r="D7" s="12" t="inlineStr">
        <is>
          <t>Catálogo STL en DCA: 5 marcas en GP (ALFA ROMEO presente con 1 row residual)</t>
        </is>
      </c>
    </row>
    <row r="8" ht="36" customHeight="1">
      <c r="A8" s="12" t="inlineStr">
        <is>
          <t>Periodo</t>
        </is>
      </c>
      <c r="B8" s="12" t="inlineStr">
        <is>
          <t>2025-01-01 a 2026-06-15 (parcial)</t>
        </is>
      </c>
      <c r="C8" s="12" t="inlineStr">
        <is>
          <t>D_25 Fecha Facturación</t>
        </is>
      </c>
      <c r="D8" s="12" t="inlineStr">
        <is>
          <t>Junio 2026 parcial — no citar aislado sin validar</t>
        </is>
      </c>
    </row>
    <row r="9" ht="36" customHeight="1">
      <c r="A9" s="12" t="inlineStr">
        <is>
          <t>Filtro Servicio</t>
        </is>
      </c>
      <c r="B9" s="12" t="inlineStr">
        <is>
          <t>tipo_orden NOT LIKE '%INTERNA%' AND NOT LIKE 'INTERNO%' AND NOT LIKE 'DEV%'</t>
        </is>
      </c>
      <c r="C9" s="12" t="inlineStr">
        <is>
          <t>D_50 Tipo Orden</t>
        </is>
      </c>
      <c r="D9" s="12" t="inlineStr">
        <is>
          <t>Incluye Público, Previa Entrega, Aseguradoras, Garantías, HYP, Filiales, Reclamaciones</t>
        </is>
      </c>
    </row>
    <row r="10" ht="36" customHeight="1">
      <c r="A10" s="12" t="inlineStr">
        <is>
          <t>OR distinta</t>
        </is>
      </c>
      <c r="B10" s="12" t="inlineStr">
        <is>
          <t>DISTINCT por Folio Orden Reparación</t>
        </is>
      </c>
      <c r="C10" s="12" t="inlineStr">
        <is>
          <t>D_31 Folio OR</t>
        </is>
      </c>
      <c r="D10" s="12" t="inlineStr">
        <is>
          <t>—</t>
        </is>
      </c>
    </row>
    <row r="12" ht="22" customHeight="1">
      <c r="A12" s="9" t="inlineStr">
        <is>
          <t>§1 Ventas mensuales — cómo se calcula</t>
        </is>
      </c>
      <c r="B12" s="10" t="n"/>
      <c r="C12" s="10" t="n"/>
      <c r="D12" s="10" t="n"/>
    </row>
    <row r="13">
      <c r="A13" s="11" t="inlineStr">
        <is>
          <t>Métrica</t>
        </is>
      </c>
      <c r="B13" s="11" t="inlineStr">
        <is>
          <t>Fórmula en Excel</t>
        </is>
      </c>
      <c r="C13" s="11" t="inlineStr">
        <is>
          <t>Origen del dato</t>
        </is>
      </c>
      <c r="D13" s="11" t="inlineStr">
        <is>
          <t>Lectura</t>
        </is>
      </c>
    </row>
    <row r="14" ht="36" customHeight="1">
      <c r="A14" s="12" t="inlineStr">
        <is>
          <t>Uds por marca por mes (B–F)</t>
        </is>
      </c>
      <c r="B14" s="12" t="inlineStr">
        <is>
          <t>Valor crudo del cubo 30003 (COUNT VINs nuevos)</t>
        </is>
      </c>
      <c r="C14" s="12" t="inlineStr">
        <is>
          <t>30003 → cubo_30003_ventas en D1</t>
        </is>
      </c>
      <c r="D14" s="12" t="inlineStr">
        <is>
          <t>Filtrado por nuevo_usado='AUTOS NUEVOS' + marca STL</t>
        </is>
      </c>
    </row>
    <row r="15" ht="36" customHeight="1">
      <c r="A15" s="12" t="inlineStr">
        <is>
          <t>$ por marca por mes (G–K)</t>
        </is>
      </c>
      <c r="B15" s="12" t="inlineStr">
        <is>
          <t>Valor crudo del cubo 30003 (SUM importe_factura REAL)</t>
        </is>
      </c>
      <c r="C15" s="12" t="inlineStr">
        <is>
          <t>30003 · I_30217 / parsed</t>
        </is>
      </c>
      <c r="D15" s="12">
        <f>'$250,000' → 250000 al ingestar</f>
        <v/>
      </c>
    </row>
    <row r="16" ht="36" customHeight="1">
      <c r="A16" s="12" t="inlineStr">
        <is>
          <t>Total uds del mes (L)</t>
        </is>
      </c>
      <c r="B16" s="12">
        <f> SUM(B:F)</f>
        <v/>
      </c>
      <c r="C16" s="12" t="inlineStr">
        <is>
          <t>Fórmula viva</t>
        </is>
      </c>
      <c r="D16" s="12" t="inlineStr">
        <is>
          <t>Suma horizontal de las 5 marcas</t>
        </is>
      </c>
    </row>
    <row r="17" ht="36" customHeight="1">
      <c r="A17" s="12" t="inlineStr">
        <is>
          <t>Total 2025 / 2026 YTD / Acumulado</t>
        </is>
      </c>
      <c r="B17" s="12" t="inlineStr">
        <is>
          <t>SUMs verticales</t>
        </is>
      </c>
      <c r="C17" s="12" t="inlineStr">
        <is>
          <t>Fórmula viva</t>
        </is>
      </c>
      <c r="D17" s="12" t="inlineStr">
        <is>
          <t>Acumulado = sub25 + subYTD</t>
        </is>
      </c>
    </row>
    <row r="19" ht="22" customHeight="1">
      <c r="A19" s="9" t="inlineStr">
        <is>
          <t>§2 OR Servicio mensuales — cómo se calcula</t>
        </is>
      </c>
      <c r="B19" s="10" t="n"/>
      <c r="C19" s="10" t="n"/>
      <c r="D19" s="10" t="n"/>
    </row>
    <row r="20">
      <c r="A20" s="11" t="inlineStr">
        <is>
          <t>Métrica</t>
        </is>
      </c>
      <c r="B20" s="11" t="inlineStr">
        <is>
          <t>Fórmula en Excel</t>
        </is>
      </c>
      <c r="C20" s="11" t="inlineStr">
        <is>
          <t>Origen del dato</t>
        </is>
      </c>
      <c r="D20" s="11" t="inlineStr">
        <is>
          <t>Lectura</t>
        </is>
      </c>
    </row>
    <row r="21" ht="36" customHeight="1">
      <c r="A21" s="12" t="inlineStr">
        <is>
          <t>OR por marca por mes (B–F)</t>
        </is>
      </c>
      <c r="B21" s="12" t="inlineStr">
        <is>
          <t>COUNT DISTINCT folio_or del mes × marca</t>
        </is>
      </c>
      <c r="C21" s="12" t="inlineStr">
        <is>
          <t>30008 → cubo_30008_servicio en D1</t>
        </is>
      </c>
      <c r="D21" s="12" t="inlineStr">
        <is>
          <t>Excluye INTERNA/INTERNO/DEV</t>
        </is>
      </c>
    </row>
    <row r="22" ht="36" customHeight="1">
      <c r="A22" s="12" t="inlineStr">
        <is>
          <t>Total OR / Subtotales / Acumulado</t>
        </is>
      </c>
      <c r="B22" s="12" t="inlineStr">
        <is>
          <t>SUM en filas y columnas</t>
        </is>
      </c>
      <c r="C22" s="12" t="inlineStr">
        <is>
          <t>Fórmula viva</t>
        </is>
      </c>
      <c r="D22" s="12" t="inlineStr">
        <is>
          <t>Acumulado alimenta §3</t>
        </is>
      </c>
    </row>
    <row r="24" ht="22" customHeight="1">
      <c r="A24" s="9" t="inlineStr">
        <is>
          <t>§3 Ratio OR / Venta — cómo se calcula</t>
        </is>
      </c>
      <c r="B24" s="10" t="n"/>
      <c r="C24" s="10" t="n"/>
      <c r="D24" s="10" t="n"/>
    </row>
    <row r="25">
      <c r="A25" s="11" t="inlineStr">
        <is>
          <t>Métrica</t>
        </is>
      </c>
      <c r="B25" s="11" t="inlineStr">
        <is>
          <t>Fórmula en Excel</t>
        </is>
      </c>
      <c r="C25" s="11" t="inlineStr">
        <is>
          <t>Origen del dato</t>
        </is>
      </c>
      <c r="D25" s="11" t="inlineStr">
        <is>
          <t>Lectura</t>
        </is>
      </c>
    </row>
    <row r="26" ht="36" customHeight="1">
      <c r="A26" s="12" t="inlineStr">
        <is>
          <t>OR distintas (col B)</t>
        </is>
      </c>
      <c r="B26" s="12">
        <f> '§2 OR Servicio mensuales'!&lt;col_marca&gt;22</f>
        <v/>
      </c>
      <c r="C26" s="12" t="inlineStr">
        <is>
          <t>Link a §2 acumulado</t>
        </is>
      </c>
      <c r="D26" s="12" t="inlineStr">
        <is>
          <t>Si editas §2, se actualiza</t>
        </is>
      </c>
    </row>
    <row r="27" ht="36" customHeight="1">
      <c r="A27" s="12" t="inlineStr">
        <is>
          <t>Uds vendidas (col C)</t>
        </is>
      </c>
      <c r="B27" s="12">
        <f> '§1 Ventas mensuales'!&lt;col_marca&gt;22</f>
        <v/>
      </c>
      <c r="C27" s="12" t="inlineStr">
        <is>
          <t>Link a §1 acumulado</t>
        </is>
      </c>
      <c r="D27" s="12" t="inlineStr">
        <is>
          <t>Si editas §1, se actualiza</t>
        </is>
      </c>
    </row>
    <row r="28" ht="36" customHeight="1">
      <c r="A28" s="12" t="inlineStr">
        <is>
          <t>Ratio OR/Venta (col D)</t>
        </is>
      </c>
      <c r="B28" s="12">
        <f> B/C</f>
        <v/>
      </c>
      <c r="C28" s="12" t="inlineStr">
        <is>
          <t>Fórmula viva</t>
        </is>
      </c>
      <c r="D28" s="12" t="inlineStr">
        <is>
          <t>PEUGEOT alto por parque legacy (10+ años en GP)</t>
        </is>
      </c>
    </row>
    <row r="30" ht="22" customHeight="1">
      <c r="A30" s="9" t="inlineStr">
        <is>
          <t>§4 Valor refacciones — cómo se calcula</t>
        </is>
      </c>
      <c r="B30" s="10" t="n"/>
      <c r="C30" s="10" t="n"/>
      <c r="D30" s="10" t="n"/>
    </row>
    <row r="31">
      <c r="A31" s="11" t="inlineStr">
        <is>
          <t>Métrica</t>
        </is>
      </c>
      <c r="B31" s="11" t="inlineStr">
        <is>
          <t>Fórmula en Excel</t>
        </is>
      </c>
      <c r="C31" s="11" t="inlineStr">
        <is>
          <t>Origen del dato</t>
        </is>
      </c>
      <c r="D31" s="11" t="inlineStr">
        <is>
          <t>Lectura</t>
        </is>
      </c>
    </row>
    <row r="32" ht="36" customHeight="1">
      <c r="A32" s="12" t="inlineStr">
        <is>
          <t>Servicio $ (col B)</t>
        </is>
      </c>
      <c r="B32" s="12" t="inlineStr">
        <is>
          <t>SUM I_30498 Vta $ Serv del cubo 30008</t>
        </is>
      </c>
      <c r="C32" s="12" t="inlineStr">
        <is>
          <t>30008 · vta_serv</t>
        </is>
      </c>
      <c r="D32" s="12" t="inlineStr">
        <is>
          <t>Mano de obra de servicio</t>
        </is>
      </c>
    </row>
    <row r="33" ht="36" customHeight="1">
      <c r="A33" s="12" t="inlineStr">
        <is>
          <t>Refacciones $ (col C)</t>
        </is>
      </c>
      <c r="B33" s="12" t="inlineStr">
        <is>
          <t>SUM I_30500 Vta $ Ref</t>
        </is>
      </c>
      <c r="C33" s="12" t="inlineStr">
        <is>
          <t>30008 · vta_ref</t>
        </is>
      </c>
      <c r="D33" s="12" t="inlineStr">
        <is>
          <t>Piezas en OR de servicio</t>
        </is>
      </c>
    </row>
    <row r="34" ht="36" customHeight="1">
      <c r="A34" s="12" t="inlineStr">
        <is>
          <t>Hojalatería $ (col D)</t>
        </is>
      </c>
      <c r="B34" s="12" t="inlineStr">
        <is>
          <t>SUM I_30499 Vta $ HyP</t>
        </is>
      </c>
      <c r="C34" s="12" t="inlineStr">
        <is>
          <t>30008 · vta_hyp</t>
        </is>
      </c>
      <c r="D34" s="12" t="inlineStr">
        <is>
          <t>—</t>
        </is>
      </c>
    </row>
    <row r="35" ht="36" customHeight="1">
      <c r="A35" s="12" t="inlineStr">
        <is>
          <t>Total post-venta $ (col E)</t>
        </is>
      </c>
      <c r="B35" s="12">
        <f> B+C+D</f>
        <v/>
      </c>
      <c r="C35" s="12" t="inlineStr">
        <is>
          <t>Fórmula viva</t>
        </is>
      </c>
      <c r="D35" s="12" t="inlineStr">
        <is>
          <t>—</t>
        </is>
      </c>
    </row>
    <row r="36" ht="36" customHeight="1">
      <c r="A36" s="12" t="inlineStr">
        <is>
          <t>Revenue venta $ (col F)</t>
        </is>
      </c>
      <c r="B36" s="12">
        <f> §1 acumulado fila 22</f>
        <v/>
      </c>
      <c r="C36" s="12" t="inlineStr">
        <is>
          <t>Link</t>
        </is>
      </c>
      <c r="D36" s="12" t="inlineStr">
        <is>
          <t>Ingreso de venta nueva por marca</t>
        </is>
      </c>
    </row>
    <row r="37" ht="36" customHeight="1">
      <c r="A37" s="12" t="inlineStr">
        <is>
          <t>% vs Revenue (col G)</t>
        </is>
      </c>
      <c r="B37" s="12">
        <f> E/F</f>
        <v/>
      </c>
      <c r="C37" s="12" t="inlineStr">
        <is>
          <t>Fórmula viva</t>
        </is>
      </c>
      <c r="D37" s="12" t="inlineStr">
        <is>
          <t>Bench NADA US 8–12%; STL en 6.67%</t>
        </is>
      </c>
    </row>
    <row r="38" ht="36" customHeight="1">
      <c r="A38" s="12" t="inlineStr">
        <is>
          <t>TOTAL STL</t>
        </is>
      </c>
      <c r="B38" s="12" t="inlineStr">
        <is>
          <t>SUM por col + % calc</t>
        </is>
      </c>
      <c r="C38" s="12" t="inlineStr">
        <is>
          <t>Fórmula viva</t>
        </is>
      </c>
      <c r="D38" s="12" t="inlineStr">
        <is>
          <t>Agregado 5 marcas</t>
        </is>
      </c>
    </row>
    <row r="40" ht="22" customHeight="1">
      <c r="A40" s="9" t="inlineStr">
        <is>
          <t>§5 Tiempo a 1er servicio — cómo se calcula</t>
        </is>
      </c>
      <c r="B40" s="10" t="n"/>
      <c r="C40" s="10" t="n"/>
      <c r="D40" s="10" t="n"/>
    </row>
    <row r="41">
      <c r="A41" s="11" t="inlineStr">
        <is>
          <t>Métrica</t>
        </is>
      </c>
      <c r="B41" s="11" t="inlineStr">
        <is>
          <t>Fórmula en Excel</t>
        </is>
      </c>
      <c r="C41" s="11" t="inlineStr">
        <is>
          <t>Origen del dato</t>
        </is>
      </c>
      <c r="D41" s="11" t="inlineStr">
        <is>
          <t>Lectura</t>
        </is>
      </c>
    </row>
    <row r="42" ht="36" customHeight="1">
      <c r="A42" s="12" t="inlineStr">
        <is>
          <t>Método base</t>
        </is>
      </c>
      <c r="B42" s="12" t="inlineStr">
        <is>
          <t>JOIN VIN limpio entre 30003 y 30008. Para cada VIN: MIN(fecha_servicio) − MIN(fecha_venta)</t>
        </is>
      </c>
      <c r="C42" s="12" t="inlineStr">
        <is>
          <t>SQL contra D1</t>
        </is>
      </c>
      <c r="D42" s="12" t="inlineStr">
        <is>
          <t>Solo si fecha_servicio ≥ fecha_venta</t>
        </is>
      </c>
    </row>
    <row r="43" ht="36" customHeight="1">
      <c r="A43" s="12" t="inlineStr">
        <is>
          <t>Vendidos (col B) / Con servicio (col C)</t>
        </is>
      </c>
      <c r="B43" s="12" t="inlineStr">
        <is>
          <t>Pre-calculado por SQL</t>
        </is>
      </c>
      <c r="C43" s="12" t="inlineStr">
        <is>
          <t>—</t>
        </is>
      </c>
      <c r="D43" s="12" t="inlineStr">
        <is>
          <t>—</t>
        </is>
      </c>
    </row>
    <row r="44" ht="36" customHeight="1">
      <c r="A44" s="12" t="inlineStr">
        <is>
          <t>% Cobertura (col D)</t>
        </is>
      </c>
      <c r="B44" s="12">
        <f> C/B</f>
        <v/>
      </c>
      <c r="C44" s="12" t="inlineStr">
        <is>
          <t>Fórmula viva</t>
        </is>
      </c>
      <c r="D44" s="12" t="inlineStr">
        <is>
          <t>FCA (RAM/JEEP/DODGE/FIAT) en 14-21%; PEUGEOT 47%</t>
        </is>
      </c>
    </row>
    <row r="45" ht="36" customHeight="1">
      <c r="A45" s="12" t="inlineStr">
        <is>
          <t>Promedio / Mediana</t>
        </is>
      </c>
      <c r="B45" s="12" t="inlineStr">
        <is>
          <t>AVG y MEDIAN días</t>
        </is>
      </c>
      <c r="C45" s="12" t="inlineStr">
        <is>
          <t>SQL</t>
        </is>
      </c>
      <c r="D45" s="12" t="inlineStr">
        <is>
          <t>MEDIANA es indicador robusto</t>
        </is>
      </c>
    </row>
    <row r="46" ht="36" customHeight="1">
      <c r="A46" s="12" t="inlineStr">
        <is>
          <t>TOTAL STL</t>
        </is>
      </c>
      <c r="B46" s="12" t="inlineStr">
        <is>
          <t>SUM, % = C/B, promedio ponderado (SUMPRODUCT/SUM)</t>
        </is>
      </c>
      <c r="C46" s="12" t="inlineStr">
        <is>
          <t>Mezcla viva + reporte</t>
        </is>
      </c>
      <c r="D46" s="12" t="inlineStr">
        <is>
          <t>Mediana del total = 127 d (no agregable)</t>
        </is>
      </c>
    </row>
    <row r="48" ht="22" customHeight="1">
      <c r="A48" s="9" t="inlineStr">
        <is>
          <t>§5 Buckets de días — cómo se calcula</t>
        </is>
      </c>
      <c r="B48" s="10" t="n"/>
      <c r="C48" s="10" t="n"/>
      <c r="D48" s="10" t="n"/>
    </row>
    <row r="49">
      <c r="A49" s="11" t="inlineStr">
        <is>
          <t>Métrica</t>
        </is>
      </c>
      <c r="B49" s="11" t="inlineStr">
        <is>
          <t>Fórmula en Excel</t>
        </is>
      </c>
      <c r="C49" s="11" t="inlineStr">
        <is>
          <t>Origen del dato</t>
        </is>
      </c>
      <c r="D49" s="11" t="inlineStr">
        <is>
          <t>Lectura</t>
        </is>
      </c>
    </row>
    <row r="50" ht="36" customHeight="1">
      <c r="A50" s="12" t="inlineStr">
        <is>
          <t>Bucket (col A)</t>
        </is>
      </c>
      <c r="B50" s="12" t="inlineStr">
        <is>
          <t>Rangos fijos: 0–30 / 31–90 / 91–180 / 181–365 / 366+</t>
        </is>
      </c>
      <c r="C50" s="12" t="inlineStr">
        <is>
          <t>—</t>
        </is>
      </c>
      <c r="D50" s="12" t="inlineStr">
        <is>
          <t>—</t>
        </is>
      </c>
    </row>
    <row r="51" ht="36" customHeight="1">
      <c r="A51" s="12" t="inlineStr">
        <is>
          <t>Conteo por marca</t>
        </is>
      </c>
      <c r="B51" s="12" t="inlineStr">
        <is>
          <t>COUNT VINs por bucket</t>
        </is>
      </c>
      <c r="C51" s="12" t="inlineStr">
        <is>
          <t>SQL</t>
        </is>
      </c>
      <c r="D51" s="12" t="inlineStr">
        <is>
          <t>Suma vertical = 'Con ≥1 servicio' de §5</t>
        </is>
      </c>
    </row>
    <row r="52" ht="36" customHeight="1">
      <c r="A52" s="12" t="inlineStr">
        <is>
          <t>Total por bucket (col G)</t>
        </is>
      </c>
      <c r="B52" s="12">
        <f> SUM(B:F)</f>
        <v/>
      </c>
      <c r="C52" s="12" t="inlineStr">
        <is>
          <t>Fórmula viva</t>
        </is>
      </c>
      <c r="D52" s="12" t="inlineStr">
        <is>
          <t>—</t>
        </is>
      </c>
    </row>
    <row r="53" ht="36" customHeight="1">
      <c r="A53" s="12" t="inlineStr">
        <is>
          <t>Total con servicio (última fila)</t>
        </is>
      </c>
      <c r="B53" s="12">
        <f> SUM por columna</f>
        <v/>
      </c>
      <c r="C53" s="12" t="inlineStr">
        <is>
          <t>Fórmula viva</t>
        </is>
      </c>
      <c r="D53" s="12" t="inlineStr">
        <is>
          <t>Debe igualar 'Con ≥1 servicio' de §5</t>
        </is>
      </c>
    </row>
    <row r="55" ht="22" customHeight="1">
      <c r="A55" s="9" t="inlineStr">
        <is>
          <t>Caveats al leer / citar</t>
        </is>
      </c>
      <c r="B55" s="10" t="n"/>
      <c r="C55" s="10" t="n"/>
      <c r="D55" s="10" t="n"/>
    </row>
    <row r="56">
      <c r="A56" s="11" t="inlineStr">
        <is>
          <t>Tema</t>
        </is>
      </c>
      <c r="B56" s="11" t="inlineStr">
        <is>
          <t>Caveat</t>
        </is>
      </c>
      <c r="C56" s="11" t="inlineStr">
        <is>
          <t>Cómo blindar</t>
        </is>
      </c>
      <c r="D56" s="11" t="inlineStr">
        <is>
          <t>Notas</t>
        </is>
      </c>
    </row>
    <row r="57" ht="36" customHeight="1">
      <c r="A57" s="12" t="inlineStr">
        <is>
          <t>Junio 2026 parcial</t>
        </is>
      </c>
      <c r="B57" s="12" t="inlineStr">
        <is>
          <t>Datos del mes incompletos en DMS</t>
        </is>
      </c>
      <c r="C57" s="12" t="inlineStr">
        <is>
          <t>Validar con Inés antes de citar mes aislado</t>
        </is>
      </c>
      <c r="D57" s="12" t="inlineStr">
        <is>
          <t>Marcado con (*) en celdas</t>
        </is>
      </c>
    </row>
    <row r="58" ht="36" customHeight="1">
      <c r="A58" s="12" t="inlineStr">
        <is>
          <t>Cobertura sesgada</t>
        </is>
      </c>
      <c r="B58" s="12" t="inlineStr">
        <is>
          <t>Autos may/jun 2026 tienen ventana corta</t>
        </is>
      </c>
      <c r="C58" s="12" t="inlineStr">
        <is>
          <t>Para retención real, cohortes con ≥6 meses</t>
        </is>
      </c>
      <c r="D58" s="12" t="inlineStr">
        <is>
          <t>Sesga cobertura hacia abajo</t>
        </is>
      </c>
    </row>
    <row r="59" ht="36" customHeight="1">
      <c r="A59" s="12" t="inlineStr">
        <is>
          <t>PEUGEOT vs FCA</t>
        </is>
      </c>
      <c r="B59" s="12" t="inlineStr">
        <is>
          <t>PEUGEOT ratio OR/Venta ~9 vs FCA &lt;1</t>
        </is>
      </c>
      <c r="C59" s="12" t="inlineStr">
        <is>
          <t>PEUGEOT incluye parque legacy 10+ años</t>
        </is>
      </c>
      <c r="D59" s="12" t="inlineStr">
        <is>
          <t>Antes de comparar, considerar mix de antigüedad</t>
        </is>
      </c>
    </row>
    <row r="60" ht="36" customHeight="1">
      <c r="A60" s="12" t="inlineStr">
        <is>
          <t>Ratio OR/Venta = velocidad</t>
        </is>
      </c>
      <c r="B60" s="12" t="inlineStr">
        <is>
          <t>No es frecuencia por unidad; incluye autos de cohortes pasadas</t>
        </is>
      </c>
      <c r="C60" s="12" t="inlineStr">
        <is>
          <t>—</t>
        </is>
      </c>
      <c r="D60" s="12" t="inlineStr">
        <is>
          <t>—</t>
        </is>
      </c>
    </row>
    <row r="61" ht="36" customHeight="1">
      <c r="A61" s="12" t="inlineStr">
        <is>
          <t>Hojalatería atribución</t>
        </is>
      </c>
      <c r="B61" s="12" t="inlineStr">
        <is>
          <t>Marca del cubo 30008 puede ser marca del dealer, no del auto</t>
        </is>
      </c>
      <c r="C61" s="12" t="inlineStr">
        <is>
          <t>Validar caso PEUGEOT HyP y RAM HyP</t>
        </is>
      </c>
      <c r="D61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2" customHeight="1">
      <c r="A1" s="13" t="inlineStr">
        <is>
          <t>Mes</t>
        </is>
      </c>
      <c r="B1" s="13" t="inlineStr">
        <is>
          <t>RAM uds</t>
        </is>
      </c>
      <c r="C1" s="13" t="inlineStr">
        <is>
          <t>PEUGEOT uds</t>
        </is>
      </c>
      <c r="D1" s="13" t="inlineStr">
        <is>
          <t>JEEP uds</t>
        </is>
      </c>
      <c r="E1" s="13" t="inlineStr">
        <is>
          <t>DODGE uds</t>
        </is>
      </c>
      <c r="F1" s="13" t="inlineStr">
        <is>
          <t>FIAT uds</t>
        </is>
      </c>
      <c r="G1" s="13" t="inlineStr">
        <is>
          <t>RAM $</t>
        </is>
      </c>
      <c r="H1" s="13" t="inlineStr">
        <is>
          <t>PEUGEOT $</t>
        </is>
      </c>
      <c r="I1" s="13" t="inlineStr">
        <is>
          <t>JEEP $</t>
        </is>
      </c>
      <c r="J1" s="13" t="inlineStr">
        <is>
          <t>DODGE $</t>
        </is>
      </c>
      <c r="K1" s="13" t="inlineStr">
        <is>
          <t>FIAT $</t>
        </is>
      </c>
      <c r="L1" s="13" t="inlineStr">
        <is>
          <t>Total uds</t>
        </is>
      </c>
    </row>
    <row r="2">
      <c r="A2" s="14" t="inlineStr">
        <is>
          <t>2025/01</t>
        </is>
      </c>
      <c r="B2" s="15" t="n">
        <v>19</v>
      </c>
      <c r="C2" s="15" t="n">
        <v>60</v>
      </c>
      <c r="D2" s="15" t="n">
        <v>11</v>
      </c>
      <c r="E2" s="15" t="n">
        <v>7</v>
      </c>
      <c r="F2" s="15" t="n">
        <v>6</v>
      </c>
      <c r="G2" s="16" t="n">
        <v>8495592</v>
      </c>
      <c r="H2" s="16" t="n">
        <v>23370699</v>
      </c>
      <c r="I2" s="16" t="n">
        <v>9946641</v>
      </c>
      <c r="J2" s="16" t="n">
        <v>3178146</v>
      </c>
      <c r="K2" s="16" t="n">
        <v>2638800</v>
      </c>
      <c r="L2" s="15">
        <f>SUM(B2:F2)</f>
        <v/>
      </c>
    </row>
    <row r="3">
      <c r="A3" s="14" t="inlineStr">
        <is>
          <t>2025/02</t>
        </is>
      </c>
      <c r="B3" s="15" t="n">
        <v>19</v>
      </c>
      <c r="C3" s="15" t="n">
        <v>29</v>
      </c>
      <c r="D3" s="15" t="n">
        <v>6</v>
      </c>
      <c r="E3" s="15" t="n">
        <v>13</v>
      </c>
      <c r="F3" s="15" t="n">
        <v>6</v>
      </c>
      <c r="G3" s="16" t="n">
        <v>11730274</v>
      </c>
      <c r="H3" s="16" t="n">
        <v>11026511</v>
      </c>
      <c r="I3" s="16" t="n">
        <v>4842709</v>
      </c>
      <c r="J3" s="16" t="n">
        <v>5097123</v>
      </c>
      <c r="K3" s="16" t="n">
        <v>2608400</v>
      </c>
      <c r="L3" s="15">
        <f>SUM(B3:F3)</f>
        <v/>
      </c>
    </row>
    <row r="4">
      <c r="A4" s="14" t="inlineStr">
        <is>
          <t>2025/03</t>
        </is>
      </c>
      <c r="B4" s="15" t="n">
        <v>16</v>
      </c>
      <c r="C4" s="15" t="n">
        <v>26</v>
      </c>
      <c r="D4" s="15" t="n">
        <v>9</v>
      </c>
      <c r="E4" s="15" t="n">
        <v>4</v>
      </c>
      <c r="F4" s="15" t="n">
        <v>3</v>
      </c>
      <c r="G4" s="16" t="n">
        <v>8217277</v>
      </c>
      <c r="H4" s="16" t="n">
        <v>10417403</v>
      </c>
      <c r="I4" s="16" t="n">
        <v>9611416</v>
      </c>
      <c r="J4" s="16" t="n">
        <v>1685212</v>
      </c>
      <c r="K4" s="16" t="n">
        <v>316224</v>
      </c>
      <c r="L4" s="15">
        <f>SUM(B4:F4)</f>
        <v/>
      </c>
    </row>
    <row r="5">
      <c r="A5" s="14" t="inlineStr">
        <is>
          <t>2025/04</t>
        </is>
      </c>
      <c r="B5" s="15" t="n">
        <v>21</v>
      </c>
      <c r="C5" s="15" t="n">
        <v>35</v>
      </c>
      <c r="D5" s="15" t="n">
        <v>8</v>
      </c>
      <c r="E5" s="15" t="n">
        <v>5</v>
      </c>
      <c r="F5" s="15" t="n">
        <v>9</v>
      </c>
      <c r="G5" s="16" t="n">
        <v>14156090</v>
      </c>
      <c r="H5" s="16" t="n">
        <v>15047784</v>
      </c>
      <c r="I5" s="16" t="n">
        <v>7823625</v>
      </c>
      <c r="J5" s="16" t="n">
        <v>2234503</v>
      </c>
      <c r="K5" s="16" t="n">
        <v>1726118</v>
      </c>
      <c r="L5" s="15">
        <f>SUM(B5:F5)</f>
        <v/>
      </c>
    </row>
    <row r="6">
      <c r="A6" s="14" t="inlineStr">
        <is>
          <t>2025/05</t>
        </is>
      </c>
      <c r="B6" s="15" t="n">
        <v>24</v>
      </c>
      <c r="C6" s="15" t="n">
        <v>65</v>
      </c>
      <c r="D6" s="15" t="n">
        <v>18</v>
      </c>
      <c r="E6" s="15" t="n">
        <v>5</v>
      </c>
      <c r="F6" s="15" t="n">
        <v>14</v>
      </c>
      <c r="G6" s="16" t="n">
        <v>17015072</v>
      </c>
      <c r="H6" s="16" t="n">
        <v>26453222</v>
      </c>
      <c r="I6" s="16" t="n">
        <v>13304803</v>
      </c>
      <c r="J6" s="16" t="n">
        <v>1677387</v>
      </c>
      <c r="K6" s="16" t="n">
        <v>2566347</v>
      </c>
      <c r="L6" s="15">
        <f>SUM(B6:F6)</f>
        <v/>
      </c>
    </row>
    <row r="7">
      <c r="A7" s="14" t="inlineStr">
        <is>
          <t>2025/06</t>
        </is>
      </c>
      <c r="B7" s="15" t="n">
        <v>20</v>
      </c>
      <c r="C7" s="15" t="n">
        <v>52</v>
      </c>
      <c r="D7" s="15" t="n">
        <v>13</v>
      </c>
      <c r="E7" s="15" t="n">
        <v>7</v>
      </c>
      <c r="F7" s="15" t="n">
        <v>5</v>
      </c>
      <c r="G7" s="16" t="n">
        <v>10670582</v>
      </c>
      <c r="H7" s="16" t="n">
        <v>19494580</v>
      </c>
      <c r="I7" s="16" t="n">
        <v>15460847</v>
      </c>
      <c r="J7" s="16" t="n">
        <v>2970111</v>
      </c>
      <c r="K7" s="16" t="n">
        <v>1825204</v>
      </c>
      <c r="L7" s="15">
        <f>SUM(B7:F7)</f>
        <v/>
      </c>
    </row>
    <row r="8">
      <c r="A8" s="14" t="inlineStr">
        <is>
          <t>2025/07</t>
        </is>
      </c>
      <c r="B8" s="15" t="n">
        <v>28</v>
      </c>
      <c r="C8" s="15" t="n">
        <v>40</v>
      </c>
      <c r="D8" s="15" t="n">
        <v>18</v>
      </c>
      <c r="E8" s="15" t="n">
        <v>7</v>
      </c>
      <c r="F8" s="15" t="n">
        <v>8</v>
      </c>
      <c r="G8" s="16" t="n">
        <v>9447494</v>
      </c>
      <c r="H8" s="16" t="n">
        <v>15809590</v>
      </c>
      <c r="I8" s="16" t="n">
        <v>7043443</v>
      </c>
      <c r="J8" s="16" t="n">
        <v>531955</v>
      </c>
      <c r="K8" s="16" t="n">
        <v>1686483</v>
      </c>
      <c r="L8" s="15">
        <f>SUM(B8:F8)</f>
        <v/>
      </c>
    </row>
    <row r="9">
      <c r="A9" s="14" t="inlineStr">
        <is>
          <t>2025/08</t>
        </is>
      </c>
      <c r="B9" s="15" t="n">
        <v>50</v>
      </c>
      <c r="C9" s="15" t="n">
        <v>40</v>
      </c>
      <c r="D9" s="15" t="n">
        <v>9</v>
      </c>
      <c r="E9" s="15" t="n">
        <v>24</v>
      </c>
      <c r="F9" s="15" t="n">
        <v>0</v>
      </c>
      <c r="G9" s="16" t="n">
        <v>26262764</v>
      </c>
      <c r="H9" s="16" t="n">
        <v>16404870</v>
      </c>
      <c r="I9" s="16" t="n">
        <v>8220239</v>
      </c>
      <c r="J9" s="16" t="n">
        <v>10286612</v>
      </c>
      <c r="K9" s="16" t="n">
        <v>0</v>
      </c>
      <c r="L9" s="15">
        <f>SUM(B9:F9)</f>
        <v/>
      </c>
    </row>
    <row r="10">
      <c r="A10" s="14" t="inlineStr">
        <is>
          <t>2025/09</t>
        </is>
      </c>
      <c r="B10" s="15" t="n">
        <v>84</v>
      </c>
      <c r="C10" s="15" t="n">
        <v>35</v>
      </c>
      <c r="D10" s="15" t="n">
        <v>20</v>
      </c>
      <c r="E10" s="15" t="n">
        <v>38</v>
      </c>
      <c r="F10" s="15" t="n">
        <v>4</v>
      </c>
      <c r="G10" s="16" t="n">
        <v>17153006</v>
      </c>
      <c r="H10" s="16" t="n">
        <v>16989654</v>
      </c>
      <c r="I10" s="16" t="n">
        <v>20090291</v>
      </c>
      <c r="J10" s="16" t="n">
        <v>6097122</v>
      </c>
      <c r="K10" s="16" t="n">
        <v>1750200</v>
      </c>
      <c r="L10" s="15">
        <f>SUM(B10:F10)</f>
        <v/>
      </c>
    </row>
    <row r="11">
      <c r="A11" s="14" t="inlineStr">
        <is>
          <t>2025/10</t>
        </is>
      </c>
      <c r="B11" s="15" t="n">
        <v>17</v>
      </c>
      <c r="C11" s="15" t="n">
        <v>41</v>
      </c>
      <c r="D11" s="15" t="n">
        <v>16</v>
      </c>
      <c r="E11" s="15" t="n">
        <v>130</v>
      </c>
      <c r="F11" s="15" t="n">
        <v>5</v>
      </c>
      <c r="G11" s="16" t="n">
        <v>7188766</v>
      </c>
      <c r="H11" s="16" t="n">
        <v>13049361</v>
      </c>
      <c r="I11" s="16" t="n">
        <v>12065660</v>
      </c>
      <c r="J11" s="16" t="n">
        <v>53344370</v>
      </c>
      <c r="K11" s="16" t="n">
        <v>292629</v>
      </c>
      <c r="L11" s="15">
        <f>SUM(B11:F11)</f>
        <v/>
      </c>
    </row>
    <row r="12">
      <c r="A12" s="14" t="inlineStr">
        <is>
          <t>2025/11</t>
        </is>
      </c>
      <c r="B12" s="15" t="n">
        <v>80</v>
      </c>
      <c r="C12" s="15" t="n">
        <v>27</v>
      </c>
      <c r="D12" s="15" t="n">
        <v>31</v>
      </c>
      <c r="E12" s="15" t="n">
        <v>31</v>
      </c>
      <c r="F12" s="15" t="n">
        <v>4</v>
      </c>
      <c r="G12" s="16" t="n">
        <v>41380435</v>
      </c>
      <c r="H12" s="16" t="n">
        <v>12226637</v>
      </c>
      <c r="I12" s="16" t="n">
        <v>27191679</v>
      </c>
      <c r="J12" s="16" t="n">
        <v>11901295</v>
      </c>
      <c r="K12" s="16" t="n">
        <v>1512934</v>
      </c>
      <c r="L12" s="15">
        <f>SUM(B12:F12)</f>
        <v/>
      </c>
    </row>
    <row r="13">
      <c r="A13" s="14" t="inlineStr">
        <is>
          <t>2025/12</t>
        </is>
      </c>
      <c r="B13" s="15" t="n">
        <v>86</v>
      </c>
      <c r="C13" s="15" t="n">
        <v>42</v>
      </c>
      <c r="D13" s="15" t="n">
        <v>16</v>
      </c>
      <c r="E13" s="15" t="n">
        <v>12</v>
      </c>
      <c r="F13" s="15" t="n">
        <v>1</v>
      </c>
      <c r="G13" s="16" t="n">
        <v>56215300</v>
      </c>
      <c r="H13" s="16" t="n">
        <v>17138135</v>
      </c>
      <c r="I13" s="16" t="n">
        <v>11096487</v>
      </c>
      <c r="J13" s="16" t="n">
        <v>4103005</v>
      </c>
      <c r="K13" s="16" t="n">
        <v>340900</v>
      </c>
      <c r="L13" s="15">
        <f>SUM(B13:F13)</f>
        <v/>
      </c>
    </row>
    <row r="14">
      <c r="A14" s="17" t="inlineStr">
        <is>
          <t>Total 2025</t>
        </is>
      </c>
      <c r="B14" s="18">
        <f>SUM(B2:B13)</f>
        <v/>
      </c>
      <c r="C14" s="18">
        <f>SUM(C2:C13)</f>
        <v/>
      </c>
      <c r="D14" s="18">
        <f>SUM(D2:D13)</f>
        <v/>
      </c>
      <c r="E14" s="18">
        <f>SUM(E2:E13)</f>
        <v/>
      </c>
      <c r="F14" s="18">
        <f>SUM(F2:F13)</f>
        <v/>
      </c>
      <c r="G14" s="19">
        <f>SUM(G2:G13)</f>
        <v/>
      </c>
      <c r="H14" s="19">
        <f>SUM(H2:H13)</f>
        <v/>
      </c>
      <c r="I14" s="19">
        <f>SUM(I2:I13)</f>
        <v/>
      </c>
      <c r="J14" s="19">
        <f>SUM(J2:J13)</f>
        <v/>
      </c>
      <c r="K14" s="19">
        <f>SUM(K2:K13)</f>
        <v/>
      </c>
      <c r="L14" s="18">
        <f>SUM(L2:L13)</f>
        <v/>
      </c>
    </row>
    <row r="15">
      <c r="A15" s="14" t="inlineStr">
        <is>
          <t>2026/01</t>
        </is>
      </c>
      <c r="B15" s="15" t="n">
        <v>52</v>
      </c>
      <c r="C15" s="15" t="n">
        <v>25</v>
      </c>
      <c r="D15" s="15" t="n">
        <v>11</v>
      </c>
      <c r="E15" s="15" t="n">
        <v>19</v>
      </c>
      <c r="F15" s="15" t="n">
        <v>1</v>
      </c>
      <c r="G15" s="16" t="n">
        <v>14733194</v>
      </c>
      <c r="H15" s="16" t="n">
        <v>11932581</v>
      </c>
      <c r="I15" s="16" t="n">
        <v>7915937</v>
      </c>
      <c r="J15" s="16" t="n">
        <v>7572885</v>
      </c>
      <c r="K15" s="16" t="n">
        <v>375900</v>
      </c>
      <c r="L15" s="15">
        <f>SUM(B15:F15)</f>
        <v/>
      </c>
    </row>
    <row r="16">
      <c r="A16" s="14" t="inlineStr">
        <is>
          <t>2026/02</t>
        </is>
      </c>
      <c r="B16" s="15" t="n">
        <v>34</v>
      </c>
      <c r="C16" s="15" t="n">
        <v>52</v>
      </c>
      <c r="D16" s="15" t="n">
        <v>20</v>
      </c>
      <c r="E16" s="15" t="n">
        <v>8</v>
      </c>
      <c r="F16" s="15" t="n">
        <v>6</v>
      </c>
      <c r="G16" s="16" t="n">
        <v>12580195</v>
      </c>
      <c r="H16" s="16" t="n">
        <v>18222454</v>
      </c>
      <c r="I16" s="16" t="n">
        <v>10128621</v>
      </c>
      <c r="J16" s="16" t="n">
        <v>1842200</v>
      </c>
      <c r="K16" s="16" t="n">
        <v>2317114</v>
      </c>
      <c r="L16" s="15">
        <f>SUM(B16:F16)</f>
        <v/>
      </c>
    </row>
    <row r="17">
      <c r="A17" s="14" t="inlineStr">
        <is>
          <t>2026/03</t>
        </is>
      </c>
      <c r="B17" s="15" t="n">
        <v>63</v>
      </c>
      <c r="C17" s="15" t="n">
        <v>52</v>
      </c>
      <c r="D17" s="15" t="n">
        <v>16</v>
      </c>
      <c r="E17" s="15" t="n">
        <v>7</v>
      </c>
      <c r="F17" s="15" t="n">
        <v>3</v>
      </c>
      <c r="G17" s="16" t="n">
        <v>29515749</v>
      </c>
      <c r="H17" s="16" t="n">
        <v>17194972</v>
      </c>
      <c r="I17" s="16" t="n">
        <v>12066298</v>
      </c>
      <c r="J17" s="16" t="n">
        <v>2505723</v>
      </c>
      <c r="K17" s="16" t="n">
        <v>375900</v>
      </c>
      <c r="L17" s="15">
        <f>SUM(B17:F17)</f>
        <v/>
      </c>
    </row>
    <row r="18">
      <c r="A18" s="14" t="inlineStr">
        <is>
          <t>2026/04</t>
        </is>
      </c>
      <c r="B18" s="15" t="n">
        <v>65</v>
      </c>
      <c r="C18" s="15" t="n">
        <v>24</v>
      </c>
      <c r="D18" s="15" t="n">
        <v>13</v>
      </c>
      <c r="E18" s="15" t="n">
        <v>5</v>
      </c>
      <c r="F18" s="15" t="n">
        <v>1</v>
      </c>
      <c r="G18" s="16" t="n">
        <v>28349775</v>
      </c>
      <c r="H18" s="16" t="n">
        <v>10966766</v>
      </c>
      <c r="I18" s="16" t="n">
        <v>8650057</v>
      </c>
      <c r="J18" s="16" t="n">
        <v>1553800</v>
      </c>
      <c r="K18" s="16" t="n">
        <v>422900</v>
      </c>
      <c r="L18" s="15">
        <f>SUM(B18:F18)</f>
        <v/>
      </c>
    </row>
    <row r="19">
      <c r="A19" s="14" t="inlineStr">
        <is>
          <t>2026/05</t>
        </is>
      </c>
      <c r="B19" s="15" t="n">
        <v>78</v>
      </c>
      <c r="C19" s="15" t="n">
        <v>41</v>
      </c>
      <c r="D19" s="15" t="n">
        <v>13</v>
      </c>
      <c r="E19" s="15" t="n">
        <v>8</v>
      </c>
      <c r="F19" s="15" t="n">
        <v>2</v>
      </c>
      <c r="G19" s="16" t="n">
        <v>31776801</v>
      </c>
      <c r="H19" s="16" t="n">
        <v>17200129</v>
      </c>
      <c r="I19" s="16" t="n">
        <v>10535212</v>
      </c>
      <c r="J19" s="16" t="n">
        <v>3712200</v>
      </c>
      <c r="K19" s="16" t="n">
        <v>737976</v>
      </c>
      <c r="L19" s="15">
        <f>SUM(B19:F19)</f>
        <v/>
      </c>
    </row>
    <row r="20">
      <c r="A20" s="20" t="inlineStr">
        <is>
          <t>2026/06 *</t>
        </is>
      </c>
      <c r="B20" s="21" t="n">
        <v>16</v>
      </c>
      <c r="C20" s="21" t="n">
        <v>12</v>
      </c>
      <c r="D20" s="21" t="n">
        <v>2</v>
      </c>
      <c r="E20" s="21" t="n">
        <v>4</v>
      </c>
      <c r="F20" s="21" t="n">
        <v>0</v>
      </c>
      <c r="G20" s="22" t="n">
        <v>6518444</v>
      </c>
      <c r="H20" s="22" t="n">
        <v>5406387</v>
      </c>
      <c r="I20" s="22" t="n">
        <v>1496800</v>
      </c>
      <c r="J20" s="22" t="n">
        <v>1589203</v>
      </c>
      <c r="K20" s="22" t="n">
        <v>0</v>
      </c>
      <c r="L20" s="21">
        <f>SUM(B20:F20)</f>
        <v/>
      </c>
    </row>
    <row r="21">
      <c r="A21" s="17" t="inlineStr">
        <is>
          <t>Total 2026 YTD</t>
        </is>
      </c>
      <c r="B21" s="18">
        <f>SUM(B15:B20)</f>
        <v/>
      </c>
      <c r="C21" s="18">
        <f>SUM(C15:C20)</f>
        <v/>
      </c>
      <c r="D21" s="18">
        <f>SUM(D15:D20)</f>
        <v/>
      </c>
      <c r="E21" s="18">
        <f>SUM(E15:E20)</f>
        <v/>
      </c>
      <c r="F21" s="18">
        <f>SUM(F15:F20)</f>
        <v/>
      </c>
      <c r="G21" s="19">
        <f>SUM(G15:G20)</f>
        <v/>
      </c>
      <c r="H21" s="19">
        <f>SUM(H15:H20)</f>
        <v/>
      </c>
      <c r="I21" s="19">
        <f>SUM(I15:I20)</f>
        <v/>
      </c>
      <c r="J21" s="19">
        <f>SUM(J15:J20)</f>
        <v/>
      </c>
      <c r="K21" s="19">
        <f>SUM(K15:K20)</f>
        <v/>
      </c>
      <c r="L21" s="18">
        <f>SUM(L15:L20)</f>
        <v/>
      </c>
    </row>
    <row r="22">
      <c r="A22" s="23" t="inlineStr">
        <is>
          <t>Acumulado 2025+26 YTD</t>
        </is>
      </c>
      <c r="B22" s="24">
        <f>B14+B21</f>
        <v/>
      </c>
      <c r="C22" s="24">
        <f>C14+C21</f>
        <v/>
      </c>
      <c r="D22" s="24">
        <f>D14+D21</f>
        <v/>
      </c>
      <c r="E22" s="24">
        <f>E14+E21</f>
        <v/>
      </c>
      <c r="F22" s="24">
        <f>F14+F21</f>
        <v/>
      </c>
      <c r="G22" s="25">
        <f>G14+G21</f>
        <v/>
      </c>
      <c r="H22" s="25">
        <f>H14+H21</f>
        <v/>
      </c>
      <c r="I22" s="25">
        <f>I14+I21</f>
        <v/>
      </c>
      <c r="J22" s="25">
        <f>J14+J21</f>
        <v/>
      </c>
      <c r="K22" s="25">
        <f>K14+K21</f>
        <v/>
      </c>
      <c r="L22" s="24">
        <f>L14+L21</f>
        <v/>
      </c>
    </row>
    <row r="24">
      <c r="A24" s="26" t="inlineStr">
        <is>
          <t>(*) Junio 2026 parcial al 15-jun. Validar con Inés antes de citar.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2" customHeight="1">
      <c r="A1" s="13" t="inlineStr">
        <is>
          <t>Mes</t>
        </is>
      </c>
      <c r="B1" s="13" t="inlineStr">
        <is>
          <t>RAM</t>
        </is>
      </c>
      <c r="C1" s="13" t="inlineStr">
        <is>
          <t>PEUGEOT</t>
        </is>
      </c>
      <c r="D1" s="13" t="inlineStr">
        <is>
          <t>JEEP</t>
        </is>
      </c>
      <c r="E1" s="13" t="inlineStr">
        <is>
          <t>DODGE</t>
        </is>
      </c>
      <c r="F1" s="13" t="inlineStr">
        <is>
          <t>FIAT</t>
        </is>
      </c>
      <c r="G1" s="13" t="inlineStr">
        <is>
          <t>Total OR</t>
        </is>
      </c>
    </row>
    <row r="2">
      <c r="A2" s="14" t="inlineStr">
        <is>
          <t>2025/01</t>
        </is>
      </c>
      <c r="B2" s="15" t="n">
        <v>21</v>
      </c>
      <c r="C2" s="15" t="n">
        <v>576</v>
      </c>
      <c r="D2" s="15" t="n">
        <v>34</v>
      </c>
      <c r="E2" s="15" t="n">
        <v>17</v>
      </c>
      <c r="F2" s="15" t="n">
        <v>16</v>
      </c>
      <c r="G2" s="15">
        <f>SUM(B2:F2)</f>
        <v/>
      </c>
    </row>
    <row r="3">
      <c r="A3" s="14" t="inlineStr">
        <is>
          <t>2025/02</t>
        </is>
      </c>
      <c r="B3" s="15" t="n">
        <v>17</v>
      </c>
      <c r="C3" s="15" t="n">
        <v>356</v>
      </c>
      <c r="D3" s="15" t="n">
        <v>22</v>
      </c>
      <c r="E3" s="15" t="n">
        <v>9</v>
      </c>
      <c r="F3" s="15" t="n">
        <v>3</v>
      </c>
      <c r="G3" s="15">
        <f>SUM(B3:F3)</f>
        <v/>
      </c>
    </row>
    <row r="4">
      <c r="A4" s="14" t="inlineStr">
        <is>
          <t>2025/03</t>
        </is>
      </c>
      <c r="B4" s="15" t="n">
        <v>24</v>
      </c>
      <c r="C4" s="15" t="n">
        <v>393</v>
      </c>
      <c r="D4" s="15" t="n">
        <v>38</v>
      </c>
      <c r="E4" s="15" t="n">
        <v>13</v>
      </c>
      <c r="F4" s="15" t="n">
        <v>10</v>
      </c>
      <c r="G4" s="15">
        <f>SUM(B4:F4)</f>
        <v/>
      </c>
    </row>
    <row r="5">
      <c r="A5" s="14" t="inlineStr">
        <is>
          <t>2025/04</t>
        </is>
      </c>
      <c r="B5" s="15" t="n">
        <v>25</v>
      </c>
      <c r="C5" s="15" t="n">
        <v>301</v>
      </c>
      <c r="D5" s="15" t="n">
        <v>38</v>
      </c>
      <c r="E5" s="15" t="n">
        <v>16</v>
      </c>
      <c r="F5" s="15" t="n">
        <v>6</v>
      </c>
      <c r="G5" s="15">
        <f>SUM(B5:F5)</f>
        <v/>
      </c>
    </row>
    <row r="6">
      <c r="A6" s="14" t="inlineStr">
        <is>
          <t>2025/05</t>
        </is>
      </c>
      <c r="B6" s="15" t="n">
        <v>9</v>
      </c>
      <c r="C6" s="15" t="n">
        <v>414</v>
      </c>
      <c r="D6" s="15" t="n">
        <v>46</v>
      </c>
      <c r="E6" s="15" t="n">
        <v>16</v>
      </c>
      <c r="F6" s="15" t="n">
        <v>7</v>
      </c>
      <c r="G6" s="15">
        <f>SUM(B6:F6)</f>
        <v/>
      </c>
    </row>
    <row r="7">
      <c r="A7" s="14" t="inlineStr">
        <is>
          <t>2025/06</t>
        </is>
      </c>
      <c r="B7" s="15" t="n">
        <v>27</v>
      </c>
      <c r="C7" s="15" t="n">
        <v>359</v>
      </c>
      <c r="D7" s="15" t="n">
        <v>28</v>
      </c>
      <c r="E7" s="15" t="n">
        <v>15</v>
      </c>
      <c r="F7" s="15" t="n">
        <v>11</v>
      </c>
      <c r="G7" s="15">
        <f>SUM(B7:F7)</f>
        <v/>
      </c>
    </row>
    <row r="8">
      <c r="A8" s="14" t="inlineStr">
        <is>
          <t>2025/07</t>
        </is>
      </c>
      <c r="B8" s="15" t="n">
        <v>40</v>
      </c>
      <c r="C8" s="15" t="n">
        <v>393</v>
      </c>
      <c r="D8" s="15" t="n">
        <v>44</v>
      </c>
      <c r="E8" s="15" t="n">
        <v>17</v>
      </c>
      <c r="F8" s="15" t="n">
        <v>11</v>
      </c>
      <c r="G8" s="15">
        <f>SUM(B8:F8)</f>
        <v/>
      </c>
    </row>
    <row r="9">
      <c r="A9" s="14" t="inlineStr">
        <is>
          <t>2025/08</t>
        </is>
      </c>
      <c r="B9" s="15" t="n">
        <v>40</v>
      </c>
      <c r="C9" s="15" t="n">
        <v>435</v>
      </c>
      <c r="D9" s="15" t="n">
        <v>42</v>
      </c>
      <c r="E9" s="15" t="n">
        <v>12</v>
      </c>
      <c r="F9" s="15" t="n">
        <v>11</v>
      </c>
      <c r="G9" s="15">
        <f>SUM(B9:F9)</f>
        <v/>
      </c>
    </row>
    <row r="10">
      <c r="A10" s="14" t="inlineStr">
        <is>
          <t>2025/09</t>
        </is>
      </c>
      <c r="B10" s="15" t="n">
        <v>32</v>
      </c>
      <c r="C10" s="15" t="n">
        <v>365</v>
      </c>
      <c r="D10" s="15" t="n">
        <v>38</v>
      </c>
      <c r="E10" s="15" t="n">
        <v>10</v>
      </c>
      <c r="F10" s="15" t="n">
        <v>6</v>
      </c>
      <c r="G10" s="15">
        <f>SUM(B10:F10)</f>
        <v/>
      </c>
    </row>
    <row r="11">
      <c r="A11" s="14" t="inlineStr">
        <is>
          <t>2025/10</t>
        </is>
      </c>
      <c r="B11" s="15" t="n">
        <v>54</v>
      </c>
      <c r="C11" s="15" t="n">
        <v>406</v>
      </c>
      <c r="D11" s="15" t="n">
        <v>53</v>
      </c>
      <c r="E11" s="15" t="n">
        <v>19</v>
      </c>
      <c r="F11" s="15" t="n">
        <v>8</v>
      </c>
      <c r="G11" s="15">
        <f>SUM(B11:F11)</f>
        <v/>
      </c>
    </row>
    <row r="12">
      <c r="A12" s="14" t="inlineStr">
        <is>
          <t>2025/11</t>
        </is>
      </c>
      <c r="B12" s="15" t="n">
        <v>27</v>
      </c>
      <c r="C12" s="15" t="n">
        <v>365</v>
      </c>
      <c r="D12" s="15" t="n">
        <v>53</v>
      </c>
      <c r="E12" s="15" t="n">
        <v>13</v>
      </c>
      <c r="F12" s="15" t="n">
        <v>2</v>
      </c>
      <c r="G12" s="15">
        <f>SUM(B12:F12)</f>
        <v/>
      </c>
    </row>
    <row r="13">
      <c r="A13" s="14" t="inlineStr">
        <is>
          <t>2025/12</t>
        </is>
      </c>
      <c r="B13" s="15" t="n">
        <v>49</v>
      </c>
      <c r="C13" s="15" t="n">
        <v>294</v>
      </c>
      <c r="D13" s="15" t="n">
        <v>51</v>
      </c>
      <c r="E13" s="15" t="n">
        <v>24</v>
      </c>
      <c r="F13" s="15" t="n">
        <v>10</v>
      </c>
      <c r="G13" s="15">
        <f>SUM(B13:F13)</f>
        <v/>
      </c>
    </row>
    <row r="14">
      <c r="A14" s="17" t="inlineStr">
        <is>
          <t>Total 2025</t>
        </is>
      </c>
      <c r="B14" s="18">
        <f>SUM(B2:B13)</f>
        <v/>
      </c>
      <c r="C14" s="18">
        <f>SUM(C2:C13)</f>
        <v/>
      </c>
      <c r="D14" s="18">
        <f>SUM(D2:D13)</f>
        <v/>
      </c>
      <c r="E14" s="18">
        <f>SUM(E2:E13)</f>
        <v/>
      </c>
      <c r="F14" s="18">
        <f>SUM(F2:F13)</f>
        <v/>
      </c>
      <c r="G14" s="18">
        <f>SUM(G2:G13)</f>
        <v/>
      </c>
    </row>
    <row r="15">
      <c r="A15" s="14" t="inlineStr">
        <is>
          <t>2026/01</t>
        </is>
      </c>
      <c r="B15" s="15" t="n">
        <v>47</v>
      </c>
      <c r="C15" s="15" t="n">
        <v>412</v>
      </c>
      <c r="D15" s="15" t="n">
        <v>44</v>
      </c>
      <c r="E15" s="15" t="n">
        <v>18</v>
      </c>
      <c r="F15" s="15" t="n">
        <v>6</v>
      </c>
      <c r="G15" s="15">
        <f>SUM(B15:F15)</f>
        <v/>
      </c>
    </row>
    <row r="16">
      <c r="A16" s="14" t="inlineStr">
        <is>
          <t>2026/02</t>
        </is>
      </c>
      <c r="B16" s="15" t="n">
        <v>41</v>
      </c>
      <c r="C16" s="15" t="n">
        <v>315</v>
      </c>
      <c r="D16" s="15" t="n">
        <v>57</v>
      </c>
      <c r="E16" s="15" t="n">
        <v>19</v>
      </c>
      <c r="F16" s="15" t="n">
        <v>6</v>
      </c>
      <c r="G16" s="15">
        <f>SUM(B16:F16)</f>
        <v/>
      </c>
    </row>
    <row r="17">
      <c r="A17" s="14" t="inlineStr">
        <is>
          <t>2026/03</t>
        </is>
      </c>
      <c r="B17" s="15" t="n">
        <v>65</v>
      </c>
      <c r="C17" s="15" t="n">
        <v>407</v>
      </c>
      <c r="D17" s="15" t="n">
        <v>62</v>
      </c>
      <c r="E17" s="15" t="n">
        <v>18</v>
      </c>
      <c r="F17" s="15" t="n">
        <v>15</v>
      </c>
      <c r="G17" s="15">
        <f>SUM(B17:F17)</f>
        <v/>
      </c>
    </row>
    <row r="18">
      <c r="A18" s="14" t="inlineStr">
        <is>
          <t>2026/04</t>
        </is>
      </c>
      <c r="B18" s="15" t="n">
        <v>34</v>
      </c>
      <c r="C18" s="15" t="n">
        <v>363</v>
      </c>
      <c r="D18" s="15" t="n">
        <v>54</v>
      </c>
      <c r="E18" s="15" t="n">
        <v>27</v>
      </c>
      <c r="F18" s="15" t="n">
        <v>15</v>
      </c>
      <c r="G18" s="15">
        <f>SUM(B18:F18)</f>
        <v/>
      </c>
    </row>
    <row r="19">
      <c r="A19" s="14" t="inlineStr">
        <is>
          <t>2026/05</t>
        </is>
      </c>
      <c r="B19" s="15" t="n">
        <v>73</v>
      </c>
      <c r="C19" s="15" t="n">
        <v>390</v>
      </c>
      <c r="D19" s="15" t="n">
        <v>65</v>
      </c>
      <c r="E19" s="15" t="n">
        <v>24</v>
      </c>
      <c r="F19" s="15" t="n">
        <v>8</v>
      </c>
      <c r="G19" s="15">
        <f>SUM(B19:F19)</f>
        <v/>
      </c>
    </row>
    <row r="20">
      <c r="A20" s="20" t="inlineStr">
        <is>
          <t>2026/06 *</t>
        </is>
      </c>
      <c r="B20" s="21" t="n">
        <v>34</v>
      </c>
      <c r="C20" s="21" t="n">
        <v>134</v>
      </c>
      <c r="D20" s="21" t="n">
        <v>24</v>
      </c>
      <c r="E20" s="21" t="n">
        <v>19</v>
      </c>
      <c r="F20" s="21" t="n">
        <v>10</v>
      </c>
      <c r="G20" s="21">
        <f>SUM(B20:F20)</f>
        <v/>
      </c>
    </row>
    <row r="21">
      <c r="A21" s="17" t="inlineStr">
        <is>
          <t>Total 2026 YTD</t>
        </is>
      </c>
      <c r="B21" s="18">
        <f>SUM(B15:B20)</f>
        <v/>
      </c>
      <c r="C21" s="18">
        <f>SUM(C15:C20)</f>
        <v/>
      </c>
      <c r="D21" s="18">
        <f>SUM(D15:D20)</f>
        <v/>
      </c>
      <c r="E21" s="18">
        <f>SUM(E15:E20)</f>
        <v/>
      </c>
      <c r="F21" s="18">
        <f>SUM(F15:F20)</f>
        <v/>
      </c>
      <c r="G21" s="18">
        <f>SUM(G15:G20)</f>
        <v/>
      </c>
    </row>
    <row r="22">
      <c r="A22" s="23" t="inlineStr">
        <is>
          <t>Acumulado 2025+26 YTD</t>
        </is>
      </c>
      <c r="B22" s="24">
        <f>B14+B21</f>
        <v/>
      </c>
      <c r="C22" s="24">
        <f>C14+C21</f>
        <v/>
      </c>
      <c r="D22" s="24">
        <f>D14+D21</f>
        <v/>
      </c>
      <c r="E22" s="24">
        <f>E14+E21</f>
        <v/>
      </c>
      <c r="F22" s="24">
        <f>F14+F21</f>
        <v/>
      </c>
      <c r="G22" s="24">
        <f>G14+G21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6" customWidth="1" min="4" max="4"/>
  </cols>
  <sheetData>
    <row r="1" ht="32" customHeight="1">
      <c r="A1" s="13" t="inlineStr">
        <is>
          <t>Marca</t>
        </is>
      </c>
      <c r="B1" s="13" t="inlineStr">
        <is>
          <t>OR distintas</t>
        </is>
      </c>
      <c r="C1" s="13" t="inlineStr">
        <is>
          <t>Uds vendidas</t>
        </is>
      </c>
      <c r="D1" s="13" t="inlineStr">
        <is>
          <t>Ratio OR/Venta</t>
        </is>
      </c>
    </row>
    <row r="2">
      <c r="A2" s="14" t="inlineStr">
        <is>
          <t>RAM</t>
        </is>
      </c>
      <c r="B2" s="15">
        <f>'§2 OR Servicio mensuales'!B22</f>
        <v/>
      </c>
      <c r="C2" s="15">
        <f>'§1 Ventas mensuales'!B22</f>
        <v/>
      </c>
      <c r="D2" s="27">
        <f>B2/C2</f>
        <v/>
      </c>
    </row>
    <row r="3">
      <c r="A3" s="14" t="inlineStr">
        <is>
          <t>PEUGEOT</t>
        </is>
      </c>
      <c r="B3" s="15">
        <f>'§2 OR Servicio mensuales'!C22</f>
        <v/>
      </c>
      <c r="C3" s="15">
        <f>'§1 Ventas mensuales'!C22</f>
        <v/>
      </c>
      <c r="D3" s="27">
        <f>B3/C3</f>
        <v/>
      </c>
    </row>
    <row r="4">
      <c r="A4" s="14" t="inlineStr">
        <is>
          <t>JEEP</t>
        </is>
      </c>
      <c r="B4" s="15">
        <f>'§2 OR Servicio mensuales'!D22</f>
        <v/>
      </c>
      <c r="C4" s="15">
        <f>'§1 Ventas mensuales'!D22</f>
        <v/>
      </c>
      <c r="D4" s="27">
        <f>B4/C4</f>
        <v/>
      </c>
    </row>
    <row r="5">
      <c r="A5" s="14" t="inlineStr">
        <is>
          <t>DODGE</t>
        </is>
      </c>
      <c r="B5" s="15">
        <f>'§2 OR Servicio mensuales'!E22</f>
        <v/>
      </c>
      <c r="C5" s="15">
        <f>'§1 Ventas mensuales'!E22</f>
        <v/>
      </c>
      <c r="D5" s="27">
        <f>B5/C5</f>
        <v/>
      </c>
    </row>
    <row r="6">
      <c r="A6" s="14" t="inlineStr">
        <is>
          <t>FIAT</t>
        </is>
      </c>
      <c r="B6" s="15">
        <f>'§2 OR Servicio mensuales'!F22</f>
        <v/>
      </c>
      <c r="C6" s="15">
        <f>'§1 Ventas mensuales'!F22</f>
        <v/>
      </c>
      <c r="D6" s="27">
        <f>B6/C6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5" customWidth="1" min="4" max="4"/>
    <col width="20" customWidth="1" min="5" max="5"/>
    <col width="28" customWidth="1" min="6" max="6"/>
    <col width="14" customWidth="1" min="7" max="7"/>
  </cols>
  <sheetData>
    <row r="1" ht="32" customHeight="1">
      <c r="A1" s="13" t="inlineStr">
        <is>
          <t>Marca</t>
        </is>
      </c>
      <c r="B1" s="13" t="inlineStr">
        <is>
          <t>Servicio $</t>
        </is>
      </c>
      <c r="C1" s="13" t="inlineStr">
        <is>
          <t>Refacciones $</t>
        </is>
      </c>
      <c r="D1" s="13" t="inlineStr">
        <is>
          <t>Hojalatería $</t>
        </is>
      </c>
      <c r="E1" s="13" t="inlineStr">
        <is>
          <t>Total post-venta $</t>
        </is>
      </c>
      <c r="F1" s="13" t="inlineStr">
        <is>
          <t>Revenue venta $</t>
        </is>
      </c>
      <c r="G1" s="13" t="inlineStr">
        <is>
          <t>% vs Revenue</t>
        </is>
      </c>
    </row>
    <row r="2">
      <c r="A2" s="14" t="inlineStr">
        <is>
          <t>RAM</t>
        </is>
      </c>
      <c r="B2" s="16" t="n">
        <v>1228227</v>
      </c>
      <c r="C2" s="16" t="n">
        <v>1888998</v>
      </c>
      <c r="D2" s="16" t="n">
        <v>400526</v>
      </c>
      <c r="E2" s="16">
        <f>B2+C2+D2</f>
        <v/>
      </c>
      <c r="F2" s="16">
        <f>'§1 Ventas mensuales'!G22</f>
        <v/>
      </c>
      <c r="G2" s="28">
        <f>E2/F2</f>
        <v/>
      </c>
    </row>
    <row r="3">
      <c r="A3" s="14" t="inlineStr">
        <is>
          <t>PEUGEOT</t>
        </is>
      </c>
      <c r="B3" s="16" t="n">
        <v>15459177</v>
      </c>
      <c r="C3" s="16" t="n">
        <v>27692732</v>
      </c>
      <c r="D3" s="16" t="n">
        <v>8413937</v>
      </c>
      <c r="E3" s="16">
        <f>B3+C3+D3</f>
        <v/>
      </c>
      <c r="F3" s="16">
        <f>'§1 Ventas mensuales'!H22</f>
        <v/>
      </c>
      <c r="G3" s="28">
        <f>E3/F3</f>
        <v/>
      </c>
    </row>
    <row r="4">
      <c r="A4" s="14" t="inlineStr">
        <is>
          <t>JEEP</t>
        </is>
      </c>
      <c r="B4" s="16" t="n">
        <v>1696383</v>
      </c>
      <c r="C4" s="16" t="n">
        <v>3984464</v>
      </c>
      <c r="D4" s="16" t="n">
        <v>745430</v>
      </c>
      <c r="E4" s="16">
        <f>B4+C4+D4</f>
        <v/>
      </c>
      <c r="F4" s="16">
        <f>'§1 Ventas mensuales'!I22</f>
        <v/>
      </c>
      <c r="G4" s="28">
        <f>E4/F4</f>
        <v/>
      </c>
    </row>
    <row r="5">
      <c r="A5" s="14" t="inlineStr">
        <is>
          <t>DODGE</t>
        </is>
      </c>
      <c r="B5" s="16" t="n">
        <v>556906</v>
      </c>
      <c r="C5" s="16" t="n">
        <v>787302</v>
      </c>
      <c r="D5" s="16" t="n">
        <v>766679</v>
      </c>
      <c r="E5" s="16">
        <f>B5+C5+D5</f>
        <v/>
      </c>
      <c r="F5" s="16">
        <f>'§1 Ventas mensuales'!J22</f>
        <v/>
      </c>
      <c r="G5" s="28">
        <f>E5/F5</f>
        <v/>
      </c>
    </row>
    <row r="6">
      <c r="A6" s="14" t="inlineStr">
        <is>
          <t>FIAT</t>
        </is>
      </c>
      <c r="B6" s="16" t="n">
        <v>287485</v>
      </c>
      <c r="C6" s="16" t="n">
        <v>439124</v>
      </c>
      <c r="D6" s="16" t="n">
        <v>364086</v>
      </c>
      <c r="E6" s="16">
        <f>B6+C6+D6</f>
        <v/>
      </c>
      <c r="F6" s="16">
        <f>'§1 Ventas mensuales'!K22</f>
        <v/>
      </c>
      <c r="G6" s="28">
        <f>E6/F6</f>
        <v/>
      </c>
    </row>
    <row r="7">
      <c r="A7" s="23" t="inlineStr">
        <is>
          <t>TOTAL STL</t>
        </is>
      </c>
      <c r="B7" s="25">
        <f>SUM(B2:B6)</f>
        <v/>
      </c>
      <c r="C7" s="25">
        <f>SUM(C2:C6)</f>
        <v/>
      </c>
      <c r="D7" s="25">
        <f>SUM(D2:D6)</f>
        <v/>
      </c>
      <c r="E7" s="25">
        <f>SUM(E2:E6)</f>
        <v/>
      </c>
      <c r="F7" s="25">
        <f>SUM(F2:F6)</f>
        <v/>
      </c>
      <c r="G7" s="29">
        <f>E7/F7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7" customWidth="1" min="3" max="3"/>
    <col width="13" customWidth="1" min="4" max="4"/>
    <col width="28" customWidth="1" min="5" max="5"/>
    <col width="14" customWidth="1" min="6" max="6"/>
    <col width="13" customWidth="1" min="7" max="7"/>
    <col width="13" customWidth="1" min="8" max="8"/>
  </cols>
  <sheetData>
    <row r="1" ht="32" customHeight="1">
      <c r="A1" s="13" t="inlineStr">
        <is>
          <t>Marca</t>
        </is>
      </c>
      <c r="B1" s="13" t="inlineStr">
        <is>
          <t>Vendidos en periodo</t>
        </is>
      </c>
      <c r="C1" s="13" t="inlineStr">
        <is>
          <t>Con ≥1 servicio</t>
        </is>
      </c>
      <c r="D1" s="13" t="inlineStr">
        <is>
          <t>% Cobertura</t>
        </is>
      </c>
      <c r="E1" s="13" t="inlineStr">
        <is>
          <t>Promedio días</t>
        </is>
      </c>
      <c r="F1" s="13" t="inlineStr">
        <is>
          <t>Mediana días</t>
        </is>
      </c>
      <c r="G1" s="13" t="inlineStr">
        <is>
          <t>Min</t>
        </is>
      </c>
      <c r="H1" s="13" t="inlineStr">
        <is>
          <t>Max</t>
        </is>
      </c>
    </row>
    <row r="2">
      <c r="A2" s="14" t="inlineStr">
        <is>
          <t>RAM</t>
        </is>
      </c>
      <c r="B2" s="15" t="n">
        <v>633</v>
      </c>
      <c r="C2" s="15" t="n">
        <v>94</v>
      </c>
      <c r="D2" s="30">
        <f>C2/B2</f>
        <v/>
      </c>
      <c r="E2" s="15" t="n">
        <v>143</v>
      </c>
      <c r="F2" s="15" t="n">
        <v>120</v>
      </c>
      <c r="G2" s="15" t="n">
        <v>0</v>
      </c>
      <c r="H2" s="15" t="n">
        <v>434</v>
      </c>
    </row>
    <row r="3">
      <c r="A3" s="14" t="inlineStr">
        <is>
          <t>PEUGEOT</t>
        </is>
      </c>
      <c r="B3" s="15" t="n">
        <v>600</v>
      </c>
      <c r="C3" s="15" t="n">
        <v>281</v>
      </c>
      <c r="D3" s="30">
        <f>C3/B3</f>
        <v/>
      </c>
      <c r="E3" s="15" t="n">
        <v>145</v>
      </c>
      <c r="F3" s="15" t="n">
        <v>124</v>
      </c>
      <c r="G3" s="15" t="n">
        <v>0</v>
      </c>
      <c r="H3" s="15" t="n">
        <v>486</v>
      </c>
    </row>
    <row r="4">
      <c r="A4" s="14" t="inlineStr">
        <is>
          <t>JEEP</t>
        </is>
      </c>
      <c r="B4" s="15" t="n">
        <v>207</v>
      </c>
      <c r="C4" s="15" t="n">
        <v>44</v>
      </c>
      <c r="D4" s="30">
        <f>C4/B4</f>
        <v/>
      </c>
      <c r="E4" s="15" t="n">
        <v>143</v>
      </c>
      <c r="F4" s="15" t="n">
        <v>108</v>
      </c>
      <c r="G4" s="15" t="n">
        <v>0</v>
      </c>
      <c r="H4" s="15" t="n">
        <v>415</v>
      </c>
    </row>
    <row r="5">
      <c r="A5" s="14" t="inlineStr">
        <is>
          <t>DODGE</t>
        </is>
      </c>
      <c r="B5" s="15" t="n">
        <v>272</v>
      </c>
      <c r="C5" s="15" t="n">
        <v>40</v>
      </c>
      <c r="D5" s="30">
        <f>C5/B5</f>
        <v/>
      </c>
      <c r="E5" s="15" t="n">
        <v>185</v>
      </c>
      <c r="F5" s="15" t="n">
        <v>180</v>
      </c>
      <c r="G5" s="15" t="n">
        <v>6</v>
      </c>
      <c r="H5" s="15" t="n">
        <v>470</v>
      </c>
    </row>
    <row r="6">
      <c r="A6" s="14" t="inlineStr">
        <is>
          <t>FIAT</t>
        </is>
      </c>
      <c r="B6" s="15" t="n">
        <v>56</v>
      </c>
      <c r="C6" s="15" t="n">
        <v>8</v>
      </c>
      <c r="D6" s="30">
        <f>C6/B6</f>
        <v/>
      </c>
      <c r="E6" s="15" t="n">
        <v>152</v>
      </c>
      <c r="F6" s="15" t="n">
        <v>64</v>
      </c>
      <c r="G6" s="15" t="n">
        <v>0</v>
      </c>
      <c r="H6" s="15" t="n">
        <v>416</v>
      </c>
    </row>
    <row r="7">
      <c r="A7" s="23" t="inlineStr">
        <is>
          <t>TOTAL STL</t>
        </is>
      </c>
      <c r="B7" s="24">
        <f>SUM(B2:B6)</f>
        <v/>
      </c>
      <c r="C7" s="24">
        <f>SUM(C2:C6)</f>
        <v/>
      </c>
      <c r="D7" s="31">
        <f>C7/B7</f>
        <v/>
      </c>
      <c r="E7" s="24">
        <f>ROUND(SUMPRODUCT(E2:E6,C2:C6)/C7,0)</f>
        <v/>
      </c>
      <c r="F7" s="24" t="n">
        <v>127</v>
      </c>
      <c r="G7" s="24">
        <f>MIN(G2:G6)</f>
        <v/>
      </c>
      <c r="H7" s="24">
        <f>MAX(H2:H6)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3" t="inlineStr">
        <is>
          <t>Bucket</t>
        </is>
      </c>
      <c r="B1" s="13" t="inlineStr">
        <is>
          <t>RAM</t>
        </is>
      </c>
      <c r="C1" s="13" t="inlineStr">
        <is>
          <t>PEUGEOT</t>
        </is>
      </c>
      <c r="D1" s="13" t="inlineStr">
        <is>
          <t>JEEP</t>
        </is>
      </c>
      <c r="E1" s="13" t="inlineStr">
        <is>
          <t>DODGE</t>
        </is>
      </c>
      <c r="F1" s="13" t="inlineStr">
        <is>
          <t>FIAT</t>
        </is>
      </c>
      <c r="G1" s="13" t="inlineStr">
        <is>
          <t>Total</t>
        </is>
      </c>
    </row>
    <row r="2">
      <c r="A2" s="14" t="inlineStr">
        <is>
          <t>0–30 d</t>
        </is>
      </c>
      <c r="B2" s="15" t="n">
        <v>21</v>
      </c>
      <c r="C2" s="15" t="n">
        <v>68</v>
      </c>
      <c r="D2" s="15" t="n">
        <v>11</v>
      </c>
      <c r="E2" s="15" t="n">
        <v>3</v>
      </c>
      <c r="F2" s="15" t="n">
        <v>1</v>
      </c>
      <c r="G2" s="15">
        <f>SUM(B2:F2)</f>
        <v/>
      </c>
    </row>
    <row r="3">
      <c r="A3" s="14" t="inlineStr">
        <is>
          <t>31–90 d</t>
        </is>
      </c>
      <c r="B3" s="15" t="n">
        <v>22</v>
      </c>
      <c r="C3" s="15" t="n">
        <v>46</v>
      </c>
      <c r="D3" s="15" t="n">
        <v>9</v>
      </c>
      <c r="E3" s="15" t="n">
        <v>8</v>
      </c>
      <c r="F3" s="15" t="n">
        <v>4</v>
      </c>
      <c r="G3" s="15">
        <f>SUM(B3:F3)</f>
        <v/>
      </c>
    </row>
    <row r="4">
      <c r="A4" s="14" t="inlineStr">
        <is>
          <t>91–180 d</t>
        </is>
      </c>
      <c r="B4" s="15" t="n">
        <v>16</v>
      </c>
      <c r="C4" s="15" t="n">
        <v>63</v>
      </c>
      <c r="D4" s="15" t="n">
        <v>6</v>
      </c>
      <c r="E4" s="15" t="n">
        <v>9</v>
      </c>
      <c r="F4" s="15" t="n">
        <v>0</v>
      </c>
      <c r="G4" s="15">
        <f>SUM(B4:F4)</f>
        <v/>
      </c>
    </row>
    <row r="5">
      <c r="A5" s="14" t="inlineStr">
        <is>
          <t>181–365 d</t>
        </is>
      </c>
      <c r="B5" s="15" t="n">
        <v>32</v>
      </c>
      <c r="C5" s="15" t="n">
        <v>88</v>
      </c>
      <c r="D5" s="15" t="n">
        <v>15</v>
      </c>
      <c r="E5" s="15" t="n">
        <v>15</v>
      </c>
      <c r="F5" s="15" t="n">
        <v>2</v>
      </c>
      <c r="G5" s="15">
        <f>SUM(B5:F5)</f>
        <v/>
      </c>
    </row>
    <row r="6">
      <c r="A6" s="14" t="inlineStr">
        <is>
          <t>366+ d</t>
        </is>
      </c>
      <c r="B6" s="15" t="n">
        <v>3</v>
      </c>
      <c r="C6" s="15" t="n">
        <v>16</v>
      </c>
      <c r="D6" s="15" t="n">
        <v>3</v>
      </c>
      <c r="E6" s="15" t="n">
        <v>5</v>
      </c>
      <c r="F6" s="15" t="n">
        <v>1</v>
      </c>
      <c r="G6" s="15">
        <f>SUM(B6:F6)</f>
        <v/>
      </c>
    </row>
    <row r="7">
      <c r="A7" s="23" t="inlineStr">
        <is>
          <t>Total con servicio</t>
        </is>
      </c>
      <c r="B7" s="24">
        <f>SUM(B2:B6)</f>
        <v/>
      </c>
      <c r="C7" s="24">
        <f>SUM(C2:C6)</f>
        <v/>
      </c>
      <c r="D7" s="24">
        <f>SUM(D2:D6)</f>
        <v/>
      </c>
      <c r="E7" s="24">
        <f>SUM(E2:E6)</f>
        <v/>
      </c>
      <c r="F7" s="24">
        <f>SUM(F2:F6)</f>
        <v/>
      </c>
      <c r="G7" s="24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2026-06-24T16:42:56Z</dcterms:created>
  <dcterms:modified xsi:type="dcterms:W3CDTF">2026-06-24T16:42:56Z</dcterms:modified>
</cp:coreProperties>
</file>